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RRBAFOKRPB\Desktop\Week\"/>
    </mc:Choice>
  </mc:AlternateContent>
  <xr:revisionPtr revIDLastSave="0" documentId="8_{DA4FBBBF-971A-4DC2-BEC3-E178307A2A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toricalFS" sheetId="3" r:id="rId1"/>
    <sheet name="Ratio Analysis" sheetId="6" r:id="rId2"/>
    <sheet name="Forecasting" sheetId="8" r:id="rId3"/>
    <sheet name="Data Sheet" sheetId="2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K3" i="6"/>
  <c r="J3" i="6"/>
  <c r="I3" i="6"/>
  <c r="H3" i="6"/>
  <c r="G3" i="6"/>
  <c r="F3" i="6"/>
  <c r="E3" i="6"/>
  <c r="D3" i="6"/>
  <c r="C3" i="6"/>
  <c r="B2" i="6"/>
  <c r="L2" i="8" l="1"/>
  <c r="L5" i="8"/>
  <c r="L6" i="8" s="1"/>
  <c r="L7" i="8" s="1"/>
  <c r="L8" i="8" s="1"/>
  <c r="L9" i="8" s="1"/>
  <c r="L10" i="8" s="1"/>
  <c r="L11" i="8" s="1"/>
  <c r="L12" i="8" s="1"/>
  <c r="L13" i="8" s="1"/>
  <c r="L14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G2" i="8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C4" i="8"/>
  <c r="B2" i="8"/>
  <c r="G5" i="8"/>
  <c r="G6" i="8" s="1"/>
  <c r="G7" i="8" s="1"/>
  <c r="G8" i="8" s="1"/>
  <c r="G9" i="8" s="1"/>
  <c r="G10" i="8" s="1"/>
  <c r="G11" i="8" s="1"/>
  <c r="G12" i="8" s="1"/>
  <c r="G13" i="8" s="1"/>
  <c r="G14" i="8" s="1"/>
  <c r="D4" i="8" a="1"/>
  <c r="D9" i="8" s="1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D4" i="8" l="1"/>
  <c r="E9" i="8"/>
  <c r="D7" i="8"/>
  <c r="D13" i="8"/>
  <c r="D8" i="8"/>
  <c r="D12" i="8"/>
  <c r="D6" i="8"/>
  <c r="D17" i="8" s="1"/>
  <c r="D11" i="8"/>
  <c r="D5" i="8"/>
  <c r="L15" i="8"/>
  <c r="G15" i="8"/>
  <c r="D10" i="8"/>
  <c r="E10" i="8" s="1"/>
  <c r="E11" i="8" l="1"/>
  <c r="D14" i="8"/>
  <c r="E14" i="8" s="1"/>
  <c r="E12" i="8"/>
  <c r="D15" i="8"/>
  <c r="E15" i="8" s="1"/>
  <c r="E8" i="8"/>
  <c r="E5" i="8"/>
  <c r="D18" i="8"/>
  <c r="E18" i="8" s="1"/>
  <c r="E13" i="8"/>
  <c r="D16" i="8"/>
  <c r="E17" i="8" s="1"/>
  <c r="E6" i="8"/>
  <c r="E7" i="8"/>
  <c r="L16" i="8"/>
  <c r="G16" i="8"/>
  <c r="E16" i="8" l="1"/>
  <c r="L17" i="8"/>
  <c r="G17" i="8"/>
  <c r="L18" i="8" l="1"/>
  <c r="G18" i="8"/>
  <c r="L74" i="3" l="1"/>
  <c r="K74" i="3"/>
  <c r="J74" i="3"/>
  <c r="I74" i="3"/>
  <c r="H74" i="3"/>
  <c r="G74" i="3"/>
  <c r="F74" i="3"/>
  <c r="E74" i="3"/>
  <c r="D74" i="3"/>
  <c r="C74" i="3"/>
  <c r="L72" i="3"/>
  <c r="K72" i="3"/>
  <c r="J72" i="3"/>
  <c r="I72" i="3"/>
  <c r="H72" i="3"/>
  <c r="G72" i="3"/>
  <c r="F72" i="3"/>
  <c r="E72" i="3"/>
  <c r="D72" i="3"/>
  <c r="C72" i="3"/>
  <c r="L70" i="3"/>
  <c r="K70" i="3"/>
  <c r="J70" i="3"/>
  <c r="I70" i="3"/>
  <c r="H70" i="3"/>
  <c r="G70" i="3"/>
  <c r="F70" i="3"/>
  <c r="E70" i="3"/>
  <c r="D70" i="3"/>
  <c r="C70" i="3"/>
  <c r="L56" i="3"/>
  <c r="K56" i="3"/>
  <c r="J56" i="3"/>
  <c r="I56" i="3"/>
  <c r="H56" i="3"/>
  <c r="G56" i="3"/>
  <c r="F56" i="3"/>
  <c r="E56" i="3"/>
  <c r="D56" i="3"/>
  <c r="C56" i="3"/>
  <c r="L61" i="3"/>
  <c r="K61" i="3"/>
  <c r="J61" i="3"/>
  <c r="I61" i="3"/>
  <c r="H61" i="3"/>
  <c r="G61" i="3"/>
  <c r="F61" i="3"/>
  <c r="E61" i="3"/>
  <c r="D61" i="3"/>
  <c r="L60" i="3"/>
  <c r="K60" i="3"/>
  <c r="J60" i="3"/>
  <c r="I60" i="3"/>
  <c r="H60" i="3"/>
  <c r="G60" i="3"/>
  <c r="F60" i="3"/>
  <c r="E60" i="3"/>
  <c r="D60" i="3"/>
  <c r="L59" i="3"/>
  <c r="K59" i="3"/>
  <c r="J59" i="3"/>
  <c r="I59" i="3"/>
  <c r="H59" i="3"/>
  <c r="G59" i="3"/>
  <c r="F59" i="3"/>
  <c r="E59" i="3"/>
  <c r="D59" i="3"/>
  <c r="C61" i="3"/>
  <c r="C60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L47" i="3"/>
  <c r="K47" i="3"/>
  <c r="J47" i="3"/>
  <c r="I47" i="3"/>
  <c r="H47" i="3"/>
  <c r="G47" i="3"/>
  <c r="F47" i="3"/>
  <c r="E47" i="3"/>
  <c r="D47" i="3"/>
  <c r="C51" i="3"/>
  <c r="C50" i="3"/>
  <c r="C49" i="3"/>
  <c r="C48" i="3"/>
  <c r="C47" i="3"/>
  <c r="L36" i="3"/>
  <c r="M36" i="3" s="1"/>
  <c r="M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D9" i="6" s="1"/>
  <c r="C36" i="3"/>
  <c r="C41" i="3" s="1"/>
  <c r="M30" i="3"/>
  <c r="L30" i="3"/>
  <c r="K30" i="3"/>
  <c r="J30" i="3"/>
  <c r="I30" i="3"/>
  <c r="H30" i="3"/>
  <c r="G30" i="3"/>
  <c r="F30" i="3"/>
  <c r="E30" i="3"/>
  <c r="D30" i="3"/>
  <c r="C30" i="3"/>
  <c r="L24" i="3"/>
  <c r="K24" i="3"/>
  <c r="J24" i="3"/>
  <c r="I24" i="3"/>
  <c r="H24" i="3"/>
  <c r="G24" i="3"/>
  <c r="F24" i="3"/>
  <c r="E24" i="3"/>
  <c r="D24" i="3"/>
  <c r="C24" i="3"/>
  <c r="M24" i="3"/>
  <c r="M21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M9" i="3"/>
  <c r="L9" i="3"/>
  <c r="K9" i="3"/>
  <c r="J9" i="3"/>
  <c r="I9" i="3"/>
  <c r="H9" i="3"/>
  <c r="G9" i="3"/>
  <c r="F9" i="3"/>
  <c r="E9" i="3"/>
  <c r="D9" i="3"/>
  <c r="C9" i="3"/>
  <c r="M6" i="3"/>
  <c r="M16" i="3" s="1"/>
  <c r="L6" i="3"/>
  <c r="K6" i="3"/>
  <c r="J6" i="3"/>
  <c r="I6" i="3"/>
  <c r="H6" i="3"/>
  <c r="G6" i="3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M18" i="3" l="1"/>
  <c r="K9" i="6"/>
  <c r="I4" i="8" a="1"/>
  <c r="H9" i="6"/>
  <c r="E31" i="6"/>
  <c r="E29" i="6"/>
  <c r="E35" i="6" s="1"/>
  <c r="E27" i="6"/>
  <c r="E33" i="6" s="1"/>
  <c r="E28" i="6"/>
  <c r="E30" i="6"/>
  <c r="I31" i="6"/>
  <c r="I29" i="6"/>
  <c r="I35" i="6" s="1"/>
  <c r="I27" i="6"/>
  <c r="I33" i="6" s="1"/>
  <c r="I30" i="6"/>
  <c r="I28" i="6"/>
  <c r="I34" i="6" s="1"/>
  <c r="F40" i="6"/>
  <c r="F38" i="6"/>
  <c r="E9" i="6"/>
  <c r="C40" i="6"/>
  <c r="C38" i="6"/>
  <c r="K40" i="6"/>
  <c r="K38" i="6"/>
  <c r="C30" i="6"/>
  <c r="C28" i="6"/>
  <c r="C31" i="6"/>
  <c r="C29" i="6"/>
  <c r="C27" i="6"/>
  <c r="G30" i="6"/>
  <c r="G28" i="6"/>
  <c r="G34" i="6" s="1"/>
  <c r="G31" i="6"/>
  <c r="G29" i="6"/>
  <c r="G35" i="6" s="1"/>
  <c r="G27" i="6"/>
  <c r="G33" i="6" s="1"/>
  <c r="G36" i="6" s="1"/>
  <c r="K30" i="6"/>
  <c r="K28" i="6"/>
  <c r="K34" i="6" s="1"/>
  <c r="K29" i="6"/>
  <c r="K35" i="6" s="1"/>
  <c r="K27" i="6"/>
  <c r="K33" i="6" s="1"/>
  <c r="K36" i="6" s="1"/>
  <c r="K31" i="6"/>
  <c r="F9" i="6"/>
  <c r="J9" i="6"/>
  <c r="D40" i="6"/>
  <c r="D38" i="6"/>
  <c r="H40" i="6"/>
  <c r="H38" i="6"/>
  <c r="L40" i="6"/>
  <c r="L38" i="6"/>
  <c r="J40" i="6"/>
  <c r="J38" i="6"/>
  <c r="F31" i="6"/>
  <c r="F29" i="6"/>
  <c r="F35" i="6" s="1"/>
  <c r="F27" i="6"/>
  <c r="F33" i="6" s="1"/>
  <c r="F30" i="6"/>
  <c r="F28" i="6"/>
  <c r="F34" i="6" s="1"/>
  <c r="J31" i="6"/>
  <c r="J29" i="6"/>
  <c r="J35" i="6" s="1"/>
  <c r="J27" i="6"/>
  <c r="J33" i="6" s="1"/>
  <c r="J28" i="6"/>
  <c r="J34" i="6" s="1"/>
  <c r="J30" i="6"/>
  <c r="I9" i="6"/>
  <c r="G40" i="6"/>
  <c r="G38" i="6"/>
  <c r="D30" i="6"/>
  <c r="D28" i="6"/>
  <c r="D34" i="6" s="1"/>
  <c r="D27" i="6"/>
  <c r="D33" i="6" s="1"/>
  <c r="D36" i="6" s="1"/>
  <c r="D31" i="6"/>
  <c r="D29" i="6"/>
  <c r="D35" i="6" s="1"/>
  <c r="H30" i="6"/>
  <c r="H28" i="6"/>
  <c r="H34" i="6" s="1"/>
  <c r="H31" i="6"/>
  <c r="H29" i="6"/>
  <c r="H35" i="6" s="1"/>
  <c r="H27" i="6"/>
  <c r="H33" i="6" s="1"/>
  <c r="L30" i="6"/>
  <c r="L28" i="6"/>
  <c r="L34" i="6" s="1"/>
  <c r="L29" i="6"/>
  <c r="L35" i="6" s="1"/>
  <c r="L31" i="6"/>
  <c r="L27" i="6"/>
  <c r="L33" i="6" s="1"/>
  <c r="G9" i="6"/>
  <c r="E40" i="6"/>
  <c r="E38" i="6"/>
  <c r="O38" i="6" s="1"/>
  <c r="I40" i="6"/>
  <c r="I38" i="6"/>
  <c r="H62" i="3"/>
  <c r="I57" i="3"/>
  <c r="G62" i="3"/>
  <c r="F62" i="3"/>
  <c r="E57" i="3"/>
  <c r="C62" i="3"/>
  <c r="I62" i="3"/>
  <c r="I64" i="3" s="1"/>
  <c r="I66" i="3" s="1"/>
  <c r="D62" i="3"/>
  <c r="J57" i="3"/>
  <c r="H57" i="3"/>
  <c r="J62" i="3"/>
  <c r="C57" i="3"/>
  <c r="K57" i="3"/>
  <c r="K62" i="3"/>
  <c r="F76" i="3"/>
  <c r="F57" i="3"/>
  <c r="D57" i="3"/>
  <c r="L57" i="3"/>
  <c r="E62" i="3"/>
  <c r="I76" i="3"/>
  <c r="L62" i="3"/>
  <c r="G57" i="3"/>
  <c r="J76" i="3"/>
  <c r="L41" i="3"/>
  <c r="L9" i="6" s="1"/>
  <c r="F10" i="3"/>
  <c r="K12" i="3"/>
  <c r="K13" i="3" s="1"/>
  <c r="K11" i="6" s="1"/>
  <c r="D10" i="3"/>
  <c r="M25" i="3"/>
  <c r="C12" i="3"/>
  <c r="C18" i="3" s="1"/>
  <c r="J12" i="3"/>
  <c r="J13" i="3" s="1"/>
  <c r="J11" i="6" s="1"/>
  <c r="C16" i="3"/>
  <c r="C17" i="6" s="1"/>
  <c r="C22" i="3"/>
  <c r="K22" i="3"/>
  <c r="M27" i="3"/>
  <c r="K7" i="3"/>
  <c r="K5" i="6" s="1"/>
  <c r="G16" i="3"/>
  <c r="G17" i="6" s="1"/>
  <c r="E22" i="3"/>
  <c r="M22" i="3"/>
  <c r="F25" i="3"/>
  <c r="F18" i="6" s="1"/>
  <c r="G7" i="3"/>
  <c r="G5" i="6" s="1"/>
  <c r="L10" i="3"/>
  <c r="H16" i="3"/>
  <c r="H17" i="6" s="1"/>
  <c r="G25" i="3"/>
  <c r="G18" i="6" s="1"/>
  <c r="I7" i="3"/>
  <c r="I5" i="6" s="1"/>
  <c r="G12" i="3"/>
  <c r="G22" i="3"/>
  <c r="H22" i="3"/>
  <c r="E16" i="3"/>
  <c r="E17" i="6" s="1"/>
  <c r="F22" i="3"/>
  <c r="F16" i="3"/>
  <c r="F17" i="6" s="1"/>
  <c r="L25" i="3"/>
  <c r="L18" i="6" s="1"/>
  <c r="I10" i="3"/>
  <c r="J16" i="3"/>
  <c r="J17" i="6" s="1"/>
  <c r="E10" i="3"/>
  <c r="I16" i="3"/>
  <c r="I17" i="6" s="1"/>
  <c r="I22" i="3"/>
  <c r="F12" i="3"/>
  <c r="H10" i="3"/>
  <c r="M19" i="3"/>
  <c r="J10" i="3"/>
  <c r="K16" i="3"/>
  <c r="K17" i="6" s="1"/>
  <c r="J22" i="3"/>
  <c r="J7" i="3"/>
  <c r="J5" i="6" s="1"/>
  <c r="J25" i="3"/>
  <c r="J18" i="6" s="1"/>
  <c r="D25" i="3"/>
  <c r="D18" i="6" s="1"/>
  <c r="H25" i="3"/>
  <c r="H18" i="6" s="1"/>
  <c r="D16" i="3"/>
  <c r="D17" i="6" s="1"/>
  <c r="L16" i="3"/>
  <c r="L17" i="6" s="1"/>
  <c r="C25" i="3"/>
  <c r="C18" i="6" s="1"/>
  <c r="K25" i="3"/>
  <c r="K18" i="6" s="1"/>
  <c r="L12" i="3"/>
  <c r="E12" i="3"/>
  <c r="D22" i="3"/>
  <c r="L22" i="3"/>
  <c r="D12" i="3"/>
  <c r="E25" i="3"/>
  <c r="E18" i="6" s="1"/>
  <c r="O18" i="6" s="1"/>
  <c r="D7" i="3"/>
  <c r="D5" i="6" s="1"/>
  <c r="L7" i="3"/>
  <c r="L5" i="6" s="1"/>
  <c r="G10" i="3"/>
  <c r="M10" i="3"/>
  <c r="E7" i="3"/>
  <c r="E5" i="6" s="1"/>
  <c r="M7" i="3"/>
  <c r="F7" i="3"/>
  <c r="F5" i="6" s="1"/>
  <c r="H12" i="3"/>
  <c r="I25" i="3"/>
  <c r="I18" i="6" s="1"/>
  <c r="H7" i="3"/>
  <c r="H5" i="6" s="1"/>
  <c r="C10" i="3"/>
  <c r="K10" i="3"/>
  <c r="I12" i="3"/>
  <c r="M12" i="3"/>
  <c r="M13" i="3" s="1"/>
  <c r="I6" i="8" l="1"/>
  <c r="I12" i="8"/>
  <c r="I7" i="8"/>
  <c r="J7" i="8" s="1"/>
  <c r="I10" i="8"/>
  <c r="I11" i="8"/>
  <c r="I13" i="8"/>
  <c r="J13" i="8" s="1"/>
  <c r="I9" i="8"/>
  <c r="J9" i="8" s="1"/>
  <c r="I5" i="8"/>
  <c r="J5" i="8" s="1"/>
  <c r="I8" i="8"/>
  <c r="L36" i="6"/>
  <c r="I4" i="8"/>
  <c r="N9" i="6"/>
  <c r="I36" i="6"/>
  <c r="O17" i="6"/>
  <c r="N17" i="6"/>
  <c r="O40" i="6"/>
  <c r="J36" i="6"/>
  <c r="N30" i="6"/>
  <c r="O9" i="6"/>
  <c r="F36" i="6"/>
  <c r="C35" i="6"/>
  <c r="N35" i="6" s="1"/>
  <c r="N29" i="6"/>
  <c r="O29" i="6"/>
  <c r="N38" i="6"/>
  <c r="O35" i="6"/>
  <c r="C34" i="6"/>
  <c r="N28" i="6"/>
  <c r="O28" i="6"/>
  <c r="E34" i="6"/>
  <c r="E36" i="6" s="1"/>
  <c r="H36" i="6"/>
  <c r="C33" i="6"/>
  <c r="O27" i="6"/>
  <c r="N27" i="6"/>
  <c r="O5" i="6"/>
  <c r="N5" i="6"/>
  <c r="N18" i="6"/>
  <c r="C19" i="3"/>
  <c r="C12" i="6" s="1"/>
  <c r="C25" i="6"/>
  <c r="C13" i="6"/>
  <c r="C21" i="6"/>
  <c r="I39" i="6"/>
  <c r="O31" i="6"/>
  <c r="N31" i="6"/>
  <c r="N40" i="6"/>
  <c r="O30" i="6"/>
  <c r="K64" i="3"/>
  <c r="G76" i="3"/>
  <c r="J64" i="3"/>
  <c r="H64" i="3"/>
  <c r="E76" i="3"/>
  <c r="C64" i="3"/>
  <c r="K76" i="3"/>
  <c r="H76" i="3"/>
  <c r="C76" i="3"/>
  <c r="L76" i="3"/>
  <c r="G64" i="3"/>
  <c r="F64" i="3"/>
  <c r="D76" i="3"/>
  <c r="L64" i="3"/>
  <c r="D64" i="3"/>
  <c r="E64" i="3"/>
  <c r="J18" i="3"/>
  <c r="C13" i="3"/>
  <c r="C11" i="6" s="1"/>
  <c r="C27" i="3"/>
  <c r="C28" i="3" s="1"/>
  <c r="C14" i="6" s="1"/>
  <c r="K18" i="3"/>
  <c r="E18" i="3"/>
  <c r="E13" i="3"/>
  <c r="E11" i="6" s="1"/>
  <c r="G18" i="3"/>
  <c r="G13" i="3"/>
  <c r="G11" i="6" s="1"/>
  <c r="F18" i="3"/>
  <c r="F13" i="3"/>
  <c r="F11" i="6" s="1"/>
  <c r="L18" i="3"/>
  <c r="L13" i="3"/>
  <c r="L11" i="6" s="1"/>
  <c r="H18" i="3"/>
  <c r="H13" i="3"/>
  <c r="H11" i="6" s="1"/>
  <c r="M31" i="3"/>
  <c r="M33" i="3"/>
  <c r="M28" i="3"/>
  <c r="I18" i="3"/>
  <c r="I13" i="3"/>
  <c r="I11" i="6" s="1"/>
  <c r="D18" i="3"/>
  <c r="D13" i="3"/>
  <c r="D11" i="6" s="1"/>
  <c r="I18" i="8" l="1"/>
  <c r="I14" i="8"/>
  <c r="J14" i="8" s="1"/>
  <c r="I17" i="8"/>
  <c r="J17" i="8" s="1"/>
  <c r="I15" i="8"/>
  <c r="J15" i="8" s="1"/>
  <c r="I16" i="8"/>
  <c r="J12" i="8"/>
  <c r="J11" i="8"/>
  <c r="J10" i="8"/>
  <c r="J8" i="8"/>
  <c r="J6" i="8"/>
  <c r="H25" i="6"/>
  <c r="H13" i="6"/>
  <c r="H19" i="6" s="1"/>
  <c r="H21" i="6"/>
  <c r="H6" i="6"/>
  <c r="E6" i="6"/>
  <c r="E21" i="6"/>
  <c r="E13" i="6"/>
  <c r="E25" i="6"/>
  <c r="J19" i="3"/>
  <c r="J12" i="6" s="1"/>
  <c r="J21" i="6"/>
  <c r="J25" i="6"/>
  <c r="J13" i="6"/>
  <c r="J19" i="6" s="1"/>
  <c r="J6" i="6"/>
  <c r="D25" i="6"/>
  <c r="D13" i="6"/>
  <c r="D19" i="6" s="1"/>
  <c r="D6" i="6"/>
  <c r="D21" i="6"/>
  <c r="E66" i="3"/>
  <c r="E39" i="6"/>
  <c r="C19" i="6"/>
  <c r="C36" i="6"/>
  <c r="N33" i="6"/>
  <c r="L25" i="6"/>
  <c r="L13" i="6"/>
  <c r="L19" i="6" s="1"/>
  <c r="L6" i="6"/>
  <c r="L21" i="6"/>
  <c r="G25" i="6"/>
  <c r="G13" i="6"/>
  <c r="G19" i="6" s="1"/>
  <c r="G21" i="6"/>
  <c r="G6" i="6"/>
  <c r="D66" i="3"/>
  <c r="D39" i="6"/>
  <c r="G66" i="3"/>
  <c r="G39" i="6"/>
  <c r="J66" i="3"/>
  <c r="J39" i="6"/>
  <c r="K66" i="3"/>
  <c r="K39" i="6"/>
  <c r="N34" i="6"/>
  <c r="O34" i="6"/>
  <c r="F21" i="6"/>
  <c r="F25" i="6"/>
  <c r="F6" i="6"/>
  <c r="F13" i="6"/>
  <c r="F19" i="6" s="1"/>
  <c r="K19" i="3"/>
  <c r="K12" i="6" s="1"/>
  <c r="K25" i="6"/>
  <c r="K13" i="6"/>
  <c r="K19" i="6" s="1"/>
  <c r="K6" i="6"/>
  <c r="K21" i="6"/>
  <c r="F66" i="3"/>
  <c r="F39" i="6"/>
  <c r="H66" i="3"/>
  <c r="H39" i="6"/>
  <c r="O33" i="6"/>
  <c r="I6" i="6"/>
  <c r="I21" i="6"/>
  <c r="I25" i="6"/>
  <c r="I13" i="6"/>
  <c r="I19" i="6" s="1"/>
  <c r="O11" i="6"/>
  <c r="N11" i="6"/>
  <c r="L66" i="3"/>
  <c r="L39" i="6"/>
  <c r="C66" i="3"/>
  <c r="C39" i="6"/>
  <c r="J27" i="3"/>
  <c r="C33" i="3"/>
  <c r="C31" i="3"/>
  <c r="K27" i="3"/>
  <c r="G19" i="3"/>
  <c r="G12" i="6" s="1"/>
  <c r="N12" i="6" s="1"/>
  <c r="G27" i="3"/>
  <c r="F19" i="3"/>
  <c r="F12" i="6" s="1"/>
  <c r="F27" i="3"/>
  <c r="I19" i="3"/>
  <c r="I12" i="6" s="1"/>
  <c r="I27" i="3"/>
  <c r="D19" i="3"/>
  <c r="D12" i="6" s="1"/>
  <c r="D27" i="3"/>
  <c r="D7" i="6" s="1"/>
  <c r="H19" i="3"/>
  <c r="H12" i="6" s="1"/>
  <c r="H27" i="3"/>
  <c r="H7" i="6" s="1"/>
  <c r="E19" i="3"/>
  <c r="E12" i="6" s="1"/>
  <c r="E27" i="3"/>
  <c r="E7" i="6" s="1"/>
  <c r="L19" i="3"/>
  <c r="L12" i="6" s="1"/>
  <c r="L27" i="3"/>
  <c r="M34" i="3"/>
  <c r="M38" i="3"/>
  <c r="O21" i="6" l="1"/>
  <c r="O12" i="6"/>
  <c r="N6" i="6"/>
  <c r="N21" i="6"/>
  <c r="J16" i="8"/>
  <c r="J18" i="8"/>
  <c r="F7" i="6"/>
  <c r="K28" i="3"/>
  <c r="K14" i="6" s="1"/>
  <c r="K7" i="6"/>
  <c r="O25" i="6"/>
  <c r="O6" i="6"/>
  <c r="O13" i="6"/>
  <c r="E19" i="6"/>
  <c r="O19" i="6" s="1"/>
  <c r="L7" i="6"/>
  <c r="I7" i="6"/>
  <c r="G7" i="6"/>
  <c r="C34" i="3"/>
  <c r="C15" i="6" s="1"/>
  <c r="C23" i="6"/>
  <c r="O39" i="6"/>
  <c r="N39" i="6"/>
  <c r="N25" i="6"/>
  <c r="O36" i="6"/>
  <c r="N36" i="6"/>
  <c r="J28" i="3"/>
  <c r="J14" i="6" s="1"/>
  <c r="J7" i="6"/>
  <c r="N13" i="6"/>
  <c r="C38" i="3"/>
  <c r="J33" i="3"/>
  <c r="J31" i="3"/>
  <c r="K33" i="3"/>
  <c r="K31" i="3"/>
  <c r="M42" i="3"/>
  <c r="M44" i="3" s="1"/>
  <c r="L31" i="3"/>
  <c r="L33" i="3"/>
  <c r="L28" i="3"/>
  <c r="L14" i="6" s="1"/>
  <c r="E31" i="3"/>
  <c r="E33" i="3"/>
  <c r="E28" i="3"/>
  <c r="E14" i="6" s="1"/>
  <c r="D31" i="3"/>
  <c r="D33" i="3"/>
  <c r="D28" i="3"/>
  <c r="D14" i="6" s="1"/>
  <c r="F28" i="3"/>
  <c r="F14" i="6" s="1"/>
  <c r="F33" i="3"/>
  <c r="F31" i="3"/>
  <c r="H28" i="3"/>
  <c r="H14" i="6" s="1"/>
  <c r="H31" i="3"/>
  <c r="H33" i="3"/>
  <c r="G33" i="3"/>
  <c r="G28" i="3"/>
  <c r="G14" i="6" s="1"/>
  <c r="G31" i="3"/>
  <c r="I33" i="3"/>
  <c r="I28" i="3"/>
  <c r="I14" i="6" s="1"/>
  <c r="I31" i="3"/>
  <c r="N7" i="6" l="1"/>
  <c r="O14" i="6"/>
  <c r="N14" i="6"/>
  <c r="E23" i="6"/>
  <c r="E8" i="6"/>
  <c r="L23" i="6"/>
  <c r="L8" i="6"/>
  <c r="K34" i="3"/>
  <c r="K15" i="6" s="1"/>
  <c r="K8" i="6"/>
  <c r="K23" i="6"/>
  <c r="G8" i="6"/>
  <c r="G23" i="6"/>
  <c r="D23" i="6"/>
  <c r="D8" i="6"/>
  <c r="N19" i="6"/>
  <c r="O7" i="6"/>
  <c r="I23" i="6"/>
  <c r="I8" i="6"/>
  <c r="H23" i="6"/>
  <c r="H8" i="6"/>
  <c r="F23" i="6"/>
  <c r="F8" i="6"/>
  <c r="K38" i="3"/>
  <c r="J38" i="3"/>
  <c r="J23" i="6"/>
  <c r="J8" i="6"/>
  <c r="C42" i="3"/>
  <c r="C44" i="3" s="1"/>
  <c r="C22" i="6" s="1"/>
  <c r="J34" i="3"/>
  <c r="J15" i="6" s="1"/>
  <c r="F34" i="3"/>
  <c r="F15" i="6" s="1"/>
  <c r="F38" i="3"/>
  <c r="I38" i="3"/>
  <c r="I34" i="3"/>
  <c r="I15" i="6" s="1"/>
  <c r="D38" i="3"/>
  <c r="D34" i="3"/>
  <c r="D15" i="6" s="1"/>
  <c r="H34" i="3"/>
  <c r="H15" i="6" s="1"/>
  <c r="H38" i="3"/>
  <c r="E34" i="3"/>
  <c r="E15" i="6" s="1"/>
  <c r="E38" i="3"/>
  <c r="G34" i="3"/>
  <c r="G15" i="6" s="1"/>
  <c r="G38" i="3"/>
  <c r="L38" i="3"/>
  <c r="L34" i="3"/>
  <c r="L15" i="6" s="1"/>
  <c r="N15" i="6" l="1"/>
  <c r="K39" i="3"/>
  <c r="N4" i="8" a="1"/>
  <c r="N5" i="8" s="1"/>
  <c r="O5" i="8" s="1"/>
  <c r="J42" i="3"/>
  <c r="J44" i="3" s="1"/>
  <c r="J22" i="6" s="1"/>
  <c r="J24" i="6" s="1"/>
  <c r="N23" i="6"/>
  <c r="N8" i="8"/>
  <c r="N12" i="8"/>
  <c r="N4" i="8"/>
  <c r="O23" i="6"/>
  <c r="O15" i="6"/>
  <c r="K42" i="3"/>
  <c r="K44" i="3" s="1"/>
  <c r="K22" i="6" s="1"/>
  <c r="K24" i="6" s="1"/>
  <c r="J39" i="3"/>
  <c r="C24" i="6"/>
  <c r="N8" i="6"/>
  <c r="O8" i="6"/>
  <c r="E39" i="3"/>
  <c r="E42" i="3"/>
  <c r="E44" i="3" s="1"/>
  <c r="E22" i="6" s="1"/>
  <c r="H39" i="3"/>
  <c r="H42" i="3"/>
  <c r="H44" i="3" s="1"/>
  <c r="H22" i="6" s="1"/>
  <c r="H24" i="6" s="1"/>
  <c r="G39" i="3"/>
  <c r="G42" i="3"/>
  <c r="G44" i="3" s="1"/>
  <c r="G22" i="6" s="1"/>
  <c r="G24" i="6" s="1"/>
  <c r="I39" i="3"/>
  <c r="I42" i="3"/>
  <c r="I44" i="3" s="1"/>
  <c r="I22" i="6" s="1"/>
  <c r="I24" i="6" s="1"/>
  <c r="F39" i="3"/>
  <c r="F42" i="3"/>
  <c r="F44" i="3" s="1"/>
  <c r="F22" i="6" s="1"/>
  <c r="F24" i="6" s="1"/>
  <c r="L39" i="3"/>
  <c r="L42" i="3"/>
  <c r="L44" i="3" s="1"/>
  <c r="L22" i="6" s="1"/>
  <c r="L24" i="6" s="1"/>
  <c r="M39" i="3"/>
  <c r="D39" i="3"/>
  <c r="D42" i="3"/>
  <c r="D44" i="3" s="1"/>
  <c r="D22" i="6" s="1"/>
  <c r="D24" i="6" s="1"/>
  <c r="N13" i="8" l="1"/>
  <c r="N7" i="8"/>
  <c r="O8" i="8" s="1"/>
  <c r="N9" i="8"/>
  <c r="N16" i="8" s="1"/>
  <c r="N11" i="8"/>
  <c r="N10" i="8"/>
  <c r="N6" i="8"/>
  <c r="O6" i="8" s="1"/>
  <c r="N22" i="6"/>
  <c r="O22" i="6"/>
  <c r="E24" i="6"/>
  <c r="O24" i="6" s="1"/>
  <c r="N14" i="8"/>
  <c r="O14" i="8" s="1"/>
  <c r="O13" i="8"/>
  <c r="O12" i="8"/>
  <c r="O9" i="8" l="1"/>
  <c r="N18" i="8"/>
  <c r="O18" i="8" s="1"/>
  <c r="O7" i="8"/>
  <c r="N15" i="8"/>
  <c r="O15" i="8" s="1"/>
  <c r="O10" i="8"/>
  <c r="N17" i="8"/>
  <c r="O17" i="8" s="1"/>
  <c r="O11" i="8"/>
  <c r="N24" i="6"/>
  <c r="O16" i="8" l="1"/>
</calcChain>
</file>

<file path=xl/sharedStrings.xml><?xml version="1.0" encoding="utf-8"?>
<sst xmlns="http://schemas.openxmlformats.org/spreadsheetml/2006/main" count="169" uniqueCount="126">
  <si>
    <t>COMPANY NAME</t>
  </si>
  <si>
    <t>MAX HEALTHCARE INSTITUTE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</si>
  <si>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</si>
  <si>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</si>
  <si>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</si>
  <si>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</si>
  <si>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</si>
  <si>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</si>
  <si>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</si>
  <si>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</si>
  <si>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</si>
  <si>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</si>
  <si>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</si>
  <si>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</si>
  <si>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</si>
  <si>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</si>
  <si>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</si>
  <si>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</si>
  <si>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</si>
  <si>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</si>
  <si>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</si>
  <si>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</si>
  <si>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</si>
  <si>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</si>
  <si>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</si>
  <si>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</si>
  <si>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</si>
  <si>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</si>
  <si>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</si>
  <si>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</si>
  <si>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</si>
  <si>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</si>
  <si>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</si>
  <si>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</si>
  <si>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</si>
  <si>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</si>
  <si>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</si>
  <si>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</si>
  <si>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</si>
  <si>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</si>
  <si>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</si>
  <si>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</si>
  <si>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</si>
  <si>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</si>
  <si>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</si>
  <si>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</si>
  <si>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</si>
  <si>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</si>
  <si>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</si>
  <si>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</si>
  <si>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</si>
  <si>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</si>
  <si>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</si>
  <si>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</si>
  <si>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</si>
  <si>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</si>
  <si>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</si>
  <si>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</si>
  <si>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</si>
  <si>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</si>
  <si>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</si>
  <si>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</si>
  <si>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</si>
  <si>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</si>
  <si>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</si>
  <si>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</si>
  <si>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</si>
  <si>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</si>
  <si>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</si>
  <si>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</si>
  <si>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</si>
  <si>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</si>
  <si>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</si>
  <si>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</si>
  <si>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</si>
  <si>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</si>
  <si>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</si>
  <si>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</si>
  <si>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</si>
  <si>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</si>
  <si>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</si>
  <si>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</si>
  <si>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</si>
  <si>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</si>
  <si>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</si>
  <si>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</si>
  <si>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</si>
  <si>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</si>
  <si>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</si>
  <si>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</si>
  <si>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</si>
  <si>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</si>
  <si>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Gross Margin</t>
  </si>
  <si>
    <t>EBITDA Margin</t>
  </si>
  <si>
    <t>OperatingIncome%Sales</t>
  </si>
  <si>
    <t>SalesExpenses%Sales</t>
  </si>
  <si>
    <t>SalesGrowth</t>
  </si>
  <si>
    <t>EBIT Growth</t>
  </si>
  <si>
    <t>Self Sustained Growth Rate</t>
  </si>
  <si>
    <t>Retained Earnings%</t>
  </si>
  <si>
    <t>Dividend Growth</t>
  </si>
  <si>
    <t>Net Profit Growth</t>
  </si>
  <si>
    <t>EBITDA Growth</t>
  </si>
  <si>
    <t>EBIT Margin</t>
  </si>
  <si>
    <t>EBT Margin</t>
  </si>
  <si>
    <t>Net Profit Margin</t>
  </si>
  <si>
    <t>Interest Coverage Ratio</t>
  </si>
  <si>
    <t>Debtor Turnover Ratio</t>
  </si>
  <si>
    <t>Inventory Turnover</t>
  </si>
  <si>
    <t>Fixed Asset Turnover</t>
  </si>
  <si>
    <t>Debtor Days</t>
  </si>
  <si>
    <t>Creditor Turnover Ratio</t>
  </si>
  <si>
    <t>Payable Days</t>
  </si>
  <si>
    <t>Capital Turnover Ratio</t>
  </si>
  <si>
    <t>Inventory Days</t>
  </si>
  <si>
    <t>Return on Equity%</t>
  </si>
  <si>
    <t>Return on Capital Employed</t>
  </si>
  <si>
    <t>CFO/Sales</t>
  </si>
  <si>
    <t>CFO/Total Assets</t>
  </si>
  <si>
    <t>CFO/Total Debt</t>
  </si>
  <si>
    <t>Year Weight</t>
  </si>
  <si>
    <t>Year</t>
  </si>
  <si>
    <t>Trend</t>
  </si>
  <si>
    <t>Mean</t>
  </si>
  <si>
    <t>Median</t>
  </si>
  <si>
    <t>Cash Conversion Cycle (in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</si>
</sst>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\ #,##0.0;\(&quot;₹&quot;\ #,##0.0\);\-"/>
    <numFmt numFmtId="167" formatCode="&quot;₹&quot;\ #,##0.00"/>
    <numFmt numFmtId="168" formatCode="yyyy&quot;A&quot;"/>
    <numFmt numFmtId="169" formatCode="yyyy&quot;E&quot;"/>
    <numFmt numFmtId="170" formatCode="#,##0.0"/>
    <numFmt numFmtId="171" formatCode="0.00&quot;x&quot;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thin">
        <color indexed="64"/>
      </bottom>
      <diagonal/>
    </border>
    <border>
      <left/>
      <right/>
      <top style="hair">
        <color rgb="FF002060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hair">
        <color rgb="FF002060"/>
      </top>
      <bottom style="medium">
        <color rgb="FF00206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0" fillId="0" borderId="0"/>
  </cellStyleXfs>
  <cellXfs count="64">
    <xf numFmtId="0" fontId="0" fillId="0" borderId="0" xfId="0"/>
    <xf numFmtId="164" fontId="4" fillId="0" borderId="0" xfId="2" applyFont="1" applyBorder="1"/>
    <xf numFmtId="164" fontId="6" fillId="0" borderId="0" xfId="2" applyFont="1" applyBorder="1"/>
    <xf numFmtId="0" fontId="6" fillId="0" borderId="0" xfId="5" applyFont="1"/>
    <xf numFmtId="165" fontId="8" fillId="3" borderId="0" xfId="2" applyNumberFormat="1" applyFont="1" applyFill="1" applyBorder="1"/>
    <xf numFmtId="165" fontId="8" fillId="3" borderId="0" xfId="5" applyNumberFormat="1" applyFont="1" applyFill="1" applyAlignment="1">
      <alignment horizontal="center"/>
    </xf>
    <xf numFmtId="165" fontId="9" fillId="0" borderId="0" xfId="2" applyNumberFormat="1" applyFont="1" applyFill="1" applyBorder="1"/>
    <xf numFmtId="0" fontId="3" fillId="0" borderId="0" xfId="5"/>
    <xf numFmtId="9" fontId="6" fillId="0" borderId="0" xfId="6" applyFont="1" applyBorder="1"/>
    <xf numFmtId="0" fontId="10" fillId="0" borderId="0" xfId="7"/>
    <xf numFmtId="43" fontId="6" fillId="0" borderId="0" xfId="2" applyNumberFormat="1" applyFont="1" applyBorder="1"/>
    <xf numFmtId="164" fontId="5" fillId="0" borderId="0" xfId="3" applyNumberFormat="1" applyFont="1" applyBorder="1" applyAlignment="1" applyProtection="1">
      <alignment horizontal="center"/>
    </xf>
    <xf numFmtId="164" fontId="8" fillId="2" borderId="0" xfId="4" applyNumberFormat="1" applyFont="1" applyBorder="1" applyAlignment="1">
      <alignment horizontal="center"/>
    </xf>
    <xf numFmtId="0" fontId="6" fillId="0" borderId="0" xfId="0" applyFont="1"/>
    <xf numFmtId="0" fontId="8" fillId="5" borderId="0" xfId="0" applyFont="1" applyFill="1" applyAlignment="1">
      <alignment horizontal="center"/>
    </xf>
    <xf numFmtId="0" fontId="8" fillId="5" borderId="0" xfId="0" applyFont="1" applyFill="1"/>
    <xf numFmtId="17" fontId="8" fillId="5" borderId="0" xfId="0" applyNumberFormat="1" applyFont="1" applyFill="1"/>
    <xf numFmtId="17" fontId="8" fillId="5" borderId="0" xfId="0" applyNumberFormat="1" applyFont="1" applyFill="1" applyAlignment="1">
      <alignment horizontal="right"/>
    </xf>
    <xf numFmtId="0" fontId="8" fillId="0" borderId="0" xfId="0" applyFont="1"/>
    <xf numFmtId="17" fontId="8" fillId="0" borderId="0" xfId="0" applyNumberFormat="1" applyFont="1"/>
    <xf numFmtId="17" fontId="8" fillId="0" borderId="0" xfId="0" applyNumberFormat="1" applyFont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166" fontId="6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1" applyNumberFormat="1" applyFont="1"/>
    <xf numFmtId="167" fontId="6" fillId="0" borderId="0" xfId="0" applyNumberFormat="1" applyFont="1"/>
    <xf numFmtId="10" fontId="6" fillId="0" borderId="0" xfId="1" applyNumberFormat="1" applyFont="1"/>
    <xf numFmtId="0" fontId="4" fillId="0" borderId="0" xfId="0" applyFont="1"/>
    <xf numFmtId="166" fontId="4" fillId="0" borderId="0" xfId="0" applyNumberFormat="1" applyFont="1"/>
    <xf numFmtId="0" fontId="12" fillId="0" borderId="0" xfId="0" applyFont="1"/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/>
    <xf numFmtId="17" fontId="4" fillId="7" borderId="5" xfId="0" applyNumberFormat="1" applyFont="1" applyFill="1" applyBorder="1"/>
    <xf numFmtId="17" fontId="4" fillId="7" borderId="5" xfId="0" applyNumberFormat="1" applyFont="1" applyFill="1" applyBorder="1" applyAlignment="1">
      <alignment horizontal="center"/>
    </xf>
    <xf numFmtId="17" fontId="4" fillId="7" borderId="5" xfId="0" applyNumberFormat="1" applyFont="1" applyFill="1" applyBorder="1" applyAlignment="1">
      <alignment horizontal="right"/>
    </xf>
    <xf numFmtId="17" fontId="4" fillId="7" borderId="6" xfId="0" applyNumberFormat="1" applyFont="1" applyFill="1" applyBorder="1" applyAlignment="1">
      <alignment horizontal="right"/>
    </xf>
    <xf numFmtId="0" fontId="6" fillId="0" borderId="7" xfId="0" applyFont="1" applyBorder="1"/>
    <xf numFmtId="10" fontId="6" fillId="0" borderId="7" xfId="1" applyNumberFormat="1" applyFont="1" applyBorder="1"/>
    <xf numFmtId="0" fontId="13" fillId="0" borderId="8" xfId="0" applyFont="1" applyBorder="1"/>
    <xf numFmtId="10" fontId="6" fillId="0" borderId="0" xfId="1" applyNumberFormat="1" applyFont="1" applyBorder="1"/>
    <xf numFmtId="0" fontId="13" fillId="0" borderId="9" xfId="0" applyFont="1" applyBorder="1"/>
    <xf numFmtId="0" fontId="6" fillId="0" borderId="10" xfId="0" applyFont="1" applyBorder="1"/>
    <xf numFmtId="10" fontId="6" fillId="0" borderId="10" xfId="1" applyNumberFormat="1" applyFont="1" applyBorder="1"/>
    <xf numFmtId="0" fontId="13" fillId="0" borderId="11" xfId="0" applyFont="1" applyBorder="1"/>
    <xf numFmtId="10" fontId="6" fillId="0" borderId="10" xfId="0" applyNumberFormat="1" applyFont="1" applyBorder="1"/>
    <xf numFmtId="171" fontId="6" fillId="0" borderId="10" xfId="0" applyNumberFormat="1" applyFont="1" applyBorder="1"/>
    <xf numFmtId="171" fontId="6" fillId="0" borderId="7" xfId="0" applyNumberFormat="1" applyFont="1" applyBorder="1"/>
    <xf numFmtId="171" fontId="6" fillId="0" borderId="0" xfId="0" applyNumberFormat="1" applyFont="1"/>
    <xf numFmtId="1" fontId="6" fillId="0" borderId="7" xfId="0" applyNumberFormat="1" applyFont="1" applyBorder="1"/>
    <xf numFmtId="1" fontId="6" fillId="0" borderId="0" xfId="0" applyNumberFormat="1" applyFont="1"/>
    <xf numFmtId="1" fontId="6" fillId="0" borderId="10" xfId="0" applyNumberFormat="1" applyFont="1" applyBorder="1"/>
    <xf numFmtId="0" fontId="4" fillId="0" borderId="0" xfId="0" applyFont="1" applyAlignment="1">
      <alignment horizontal="center"/>
    </xf>
    <xf numFmtId="0" fontId="8" fillId="5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right"/>
    </xf>
    <xf numFmtId="170" fontId="6" fillId="0" borderId="0" xfId="0" applyNumberFormat="1" applyFont="1"/>
    <xf numFmtId="0" fontId="6" fillId="6" borderId="0" xfId="0" applyFont="1" applyFill="1" applyAlignment="1">
      <alignment horizontal="left"/>
    </xf>
    <xf numFmtId="169" fontId="6" fillId="6" borderId="0" xfId="0" applyNumberFormat="1" applyFont="1" applyFill="1" applyAlignment="1">
      <alignment horizontal="right"/>
    </xf>
    <xf numFmtId="170" fontId="6" fillId="6" borderId="0" xfId="0" applyNumberFormat="1" applyFont="1" applyFill="1"/>
    <xf numFmtId="10" fontId="6" fillId="6" borderId="0" xfId="1" applyNumberFormat="1" applyFont="1" applyFill="1"/>
  </cellXfs>
  <cellStyles count="8">
    <cellStyle name="Accent6 2" xfId="4" xr:uid="{00000000-0005-0000-0000-000000000000}"/>
    <cellStyle name="Comma 2" xfId="2" xr:uid="{00000000-0005-0000-0000-000001000000}"/>
    <cellStyle name="Hyperlink 2" xfId="3" xr:uid="{00000000-0005-0000-0000-000002000000}"/>
    <cellStyle name="Normal" xfId="0" builtinId="0"/>
    <cellStyle name="Normal 2" xfId="7" xr:uid="{00000000-0005-0000-0000-000004000000}"/>
    <cellStyle name="Normal 3" xfId="5" xr:uid="{00000000-0005-0000-0000-000005000000}"/>
    <cellStyle name="Percent" xfId="1" builtinId="5"/>
    <cellStyle name="Percent 3" xfId="6" xr:uid="{00000000-0005-0000-0000-000007000000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6"/>
  <sheetViews>
    <sheetView showGridLines="0" tabSelected="1" zoomScale="85" zoomScaleNormal="85" workbookViewId="0">
      <pane ySplit="3" topLeftCell="A4" activePane="bottomLeft" state="frozen"/>
      <selection pane="bottomLeft" activeCell="E12" sqref="E12"/>
    </sheetView>
  </sheetViews>
  <sheetFormatPr defaultRowHeight="12.75" x14ac:dyDescent="0.2"/>
  <cols>
    <col min="1" max="1" width="1.85546875" style="13" customWidth="1"/>
    <col min="2" max="2" width="28.42578125" style="13" bestFit="1" customWidth="1"/>
    <col min="3" max="13" width="13" style="13" customWidth="1"/>
    <col min="14" max="16384" width="9.140625" style="13"/>
  </cols>
  <sheetData>
    <row r="2" spans="1:13" x14ac:dyDescent="0.2">
      <c r="B2" s="14" t="str">
        <f>"Historical Financial Statement - "&amp;'Data Sheet'!B1</f>
        <v>Historical Financial Statement - MAX HEALTHCARE INSTITUTE LTD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">
      <c r="B3" s="15" t="s">
        <v>56</v>
      </c>
      <c r="C3" s="16">
        <f>'Data Sheet'!B16</f>
        <v>41729</v>
      </c>
      <c r="D3" s="16">
        <f>'Data Sheet'!C16</f>
        <v>42825</v>
      </c>
      <c r="E3" s="16">
        <f>'Data Sheet'!D16</f>
        <v>43190</v>
      </c>
      <c r="F3" s="16">
        <f>'Data Sheet'!E16</f>
        <v>43555</v>
      </c>
      <c r="G3" s="16">
        <f>'Data Sheet'!F16</f>
        <v>43921</v>
      </c>
      <c r="H3" s="16">
        <f>'Data Sheet'!G16</f>
        <v>44286</v>
      </c>
      <c r="I3" s="16">
        <f>'Data Sheet'!H16</f>
        <v>44651</v>
      </c>
      <c r="J3" s="16">
        <f>'Data Sheet'!I16</f>
        <v>45016</v>
      </c>
      <c r="K3" s="16">
        <f>'Data Sheet'!J16</f>
        <v>45382</v>
      </c>
      <c r="L3" s="16">
        <f>'Data Sheet'!K16</f>
        <v>45747</v>
      </c>
      <c r="M3" s="17" t="s">
        <v>57</v>
      </c>
    </row>
    <row r="4" spans="1:13" x14ac:dyDescent="0.2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2">
      <c r="A5" s="13" t="s">
        <v>59</v>
      </c>
      <c r="B5" s="21" t="s">
        <v>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2">
      <c r="B6" s="13" t="s">
        <v>12</v>
      </c>
      <c r="C6" s="23">
        <f>IFERROR('Data Sheet'!B17,0)</f>
        <v>0</v>
      </c>
      <c r="D6" s="23">
        <f>IFERROR('Data Sheet'!C17,0)</f>
        <v>1608.26</v>
      </c>
      <c r="E6" s="23">
        <f>IFERROR('Data Sheet'!D17,0)</f>
        <v>1729.13</v>
      </c>
      <c r="F6" s="23">
        <f>IFERROR('Data Sheet'!E17,0)</f>
        <v>1691.02</v>
      </c>
      <c r="G6" s="23">
        <f>IFERROR('Data Sheet'!F17,0)</f>
        <v>1059.03</v>
      </c>
      <c r="H6" s="23">
        <f>IFERROR('Data Sheet'!G17,0)</f>
        <v>2504.67</v>
      </c>
      <c r="I6" s="23">
        <f>IFERROR('Data Sheet'!H17,0)</f>
        <v>3931.46</v>
      </c>
      <c r="J6" s="23">
        <f>IFERROR('Data Sheet'!I17,0)</f>
        <v>4562.6000000000004</v>
      </c>
      <c r="K6" s="23">
        <f>IFERROR('Data Sheet'!J17,0)</f>
        <v>5406.02</v>
      </c>
      <c r="L6" s="23">
        <f>IFERROR('Data Sheet'!K17,0)</f>
        <v>7028.46</v>
      </c>
      <c r="M6" s="23">
        <f>IFERROR(SUM('Data Sheet'!H42:K42),0)</f>
        <v>7941.09</v>
      </c>
    </row>
    <row r="7" spans="1:13" x14ac:dyDescent="0.2">
      <c r="B7" s="24" t="s">
        <v>60</v>
      </c>
      <c r="C7" s="25" t="s">
        <v>61</v>
      </c>
      <c r="D7" s="26" t="e">
        <f>D6/C6-1</f>
        <v>#DIV/0!</v>
      </c>
      <c r="E7" s="26">
        <f t="shared" ref="E7:M7" si="0">E6/D6-1</f>
        <v>7.5155758397274175E-2</v>
      </c>
      <c r="F7" s="26">
        <f t="shared" si="0"/>
        <v>-2.2039985426197006E-2</v>
      </c>
      <c r="G7" s="26">
        <f t="shared" si="0"/>
        <v>-0.37373301321096142</v>
      </c>
      <c r="H7" s="26">
        <f t="shared" si="0"/>
        <v>1.3650604798730916</v>
      </c>
      <c r="I7" s="26">
        <f t="shared" si="0"/>
        <v>0.56965189026897756</v>
      </c>
      <c r="J7" s="26">
        <f t="shared" si="0"/>
        <v>0.16053578060059115</v>
      </c>
      <c r="K7" s="26">
        <f t="shared" si="0"/>
        <v>0.18485512646298163</v>
      </c>
      <c r="L7" s="26">
        <f t="shared" si="0"/>
        <v>0.30011727666564303</v>
      </c>
      <c r="M7" s="26">
        <f t="shared" si="0"/>
        <v>0.12984779026984583</v>
      </c>
    </row>
    <row r="9" spans="1:13" x14ac:dyDescent="0.2">
      <c r="B9" s="13" t="s">
        <v>62</v>
      </c>
      <c r="C9" s="23">
        <f>IFERROR(SUM('Data Sheet'!B18,'Data Sheet'!B20:B22)-1*'Data Sheet'!B19,0)</f>
        <v>0</v>
      </c>
      <c r="D9" s="23">
        <f>IFERROR(SUM('Data Sheet'!C18,'Data Sheet'!C20:C22)-1*'Data Sheet'!C19,0)</f>
        <v>853.13</v>
      </c>
      <c r="E9" s="23">
        <f>IFERROR(SUM('Data Sheet'!D18,'Data Sheet'!D20:D22)-1*'Data Sheet'!D19,0)</f>
        <v>950.67</v>
      </c>
      <c r="F9" s="23">
        <f>IFERROR(SUM('Data Sheet'!E18,'Data Sheet'!E20:E22)-1*'Data Sheet'!E19,0)</f>
        <v>889.55</v>
      </c>
      <c r="G9" s="23">
        <f>IFERROR(SUM('Data Sheet'!F18,'Data Sheet'!F20:F22)-1*'Data Sheet'!F19,0)</f>
        <v>777.71999999999991</v>
      </c>
      <c r="H9" s="23">
        <f>IFERROR(SUM('Data Sheet'!G18,'Data Sheet'!G20:G22)-1*'Data Sheet'!G19,0)</f>
        <v>1853.1999999999998</v>
      </c>
      <c r="I9" s="23">
        <f>IFERROR(SUM('Data Sheet'!H18,'Data Sheet'!H20:H22)-1*'Data Sheet'!H19,0)</f>
        <v>2675.78</v>
      </c>
      <c r="J9" s="23">
        <f>IFERROR(SUM('Data Sheet'!I18,'Data Sheet'!I20:I22)-1*'Data Sheet'!I19,0)</f>
        <v>2924.5899999999997</v>
      </c>
      <c r="K9" s="23">
        <f>IFERROR(SUM('Data Sheet'!J18,'Data Sheet'!J20:J22)-1*'Data Sheet'!J19,0)</f>
        <v>3408.0899999999997</v>
      </c>
      <c r="L9" s="23">
        <f>IFERROR(SUM('Data Sheet'!K18,'Data Sheet'!K20:K22)-1*'Data Sheet'!K19,0)</f>
        <v>4473.09</v>
      </c>
      <c r="M9" s="23">
        <f>IFERROR(SUM('Data Sheet'!H43:K43),0)</f>
        <v>5832.28</v>
      </c>
    </row>
    <row r="10" spans="1:13" x14ac:dyDescent="0.2">
      <c r="B10" s="24" t="s">
        <v>63</v>
      </c>
      <c r="C10" s="26" t="e">
        <f>C9/C6</f>
        <v>#DIV/0!</v>
      </c>
      <c r="D10" s="26">
        <f t="shared" ref="D10:M10" si="1">D9/D6</f>
        <v>0.53046771044482854</v>
      </c>
      <c r="E10" s="26">
        <f t="shared" si="1"/>
        <v>0.54979671858102042</v>
      </c>
      <c r="F10" s="26">
        <f t="shared" si="1"/>
        <v>0.52604345306383127</v>
      </c>
      <c r="G10" s="26">
        <f t="shared" si="1"/>
        <v>0.73437013115775751</v>
      </c>
      <c r="H10" s="26">
        <f t="shared" si="1"/>
        <v>0.73989787077738778</v>
      </c>
      <c r="I10" s="26">
        <f t="shared" si="1"/>
        <v>0.68060720444822032</v>
      </c>
      <c r="J10" s="26">
        <f t="shared" si="1"/>
        <v>0.64099197825801069</v>
      </c>
      <c r="K10" s="26">
        <f t="shared" si="1"/>
        <v>0.63042497068083347</v>
      </c>
      <c r="L10" s="26">
        <f t="shared" si="1"/>
        <v>0.63642533357236153</v>
      </c>
      <c r="M10" s="26">
        <f t="shared" si="1"/>
        <v>0.73444325653027476</v>
      </c>
    </row>
    <row r="12" spans="1:13" x14ac:dyDescent="0.2">
      <c r="B12" s="13" t="s">
        <v>64</v>
      </c>
      <c r="C12" s="27">
        <f>C6-C9</f>
        <v>0</v>
      </c>
      <c r="D12" s="27">
        <f t="shared" ref="D12:M12" si="2">D6-D9</f>
        <v>755.13</v>
      </c>
      <c r="E12" s="27">
        <f t="shared" si="2"/>
        <v>778.46000000000015</v>
      </c>
      <c r="F12" s="27">
        <f t="shared" si="2"/>
        <v>801.47</v>
      </c>
      <c r="G12" s="27">
        <f t="shared" si="2"/>
        <v>281.31000000000006</v>
      </c>
      <c r="H12" s="27">
        <f t="shared" si="2"/>
        <v>651.47000000000025</v>
      </c>
      <c r="I12" s="27">
        <f t="shared" si="2"/>
        <v>1255.6799999999998</v>
      </c>
      <c r="J12" s="27">
        <f t="shared" si="2"/>
        <v>1638.0100000000007</v>
      </c>
      <c r="K12" s="27">
        <f t="shared" si="2"/>
        <v>1997.9300000000007</v>
      </c>
      <c r="L12" s="27">
        <f t="shared" si="2"/>
        <v>2555.37</v>
      </c>
      <c r="M12" s="27">
        <f t="shared" si="2"/>
        <v>2108.8100000000004</v>
      </c>
    </row>
    <row r="13" spans="1:13" x14ac:dyDescent="0.2">
      <c r="B13" s="24" t="s">
        <v>70</v>
      </c>
      <c r="C13" s="26" t="e">
        <f>C12/C6</f>
        <v>#DIV/0!</v>
      </c>
      <c r="D13" s="26">
        <f t="shared" ref="D13:M13" si="3">D12/D6</f>
        <v>0.4695322895551714</v>
      </c>
      <c r="E13" s="26">
        <f t="shared" si="3"/>
        <v>0.45020328141897953</v>
      </c>
      <c r="F13" s="26">
        <f t="shared" si="3"/>
        <v>0.47395654693616873</v>
      </c>
      <c r="G13" s="26">
        <f t="shared" si="3"/>
        <v>0.26562986884224249</v>
      </c>
      <c r="H13" s="26">
        <f t="shared" si="3"/>
        <v>0.26010212922261228</v>
      </c>
      <c r="I13" s="26">
        <f t="shared" si="3"/>
        <v>0.31939279555177968</v>
      </c>
      <c r="J13" s="26">
        <f t="shared" si="3"/>
        <v>0.35900802174198931</v>
      </c>
      <c r="K13" s="26">
        <f t="shared" si="3"/>
        <v>0.36957502931916653</v>
      </c>
      <c r="L13" s="26">
        <f t="shared" si="3"/>
        <v>0.36357466642763847</v>
      </c>
      <c r="M13" s="26">
        <f t="shared" si="3"/>
        <v>0.26555674346972524</v>
      </c>
    </row>
    <row r="15" spans="1:13" x14ac:dyDescent="0.2">
      <c r="B15" s="13" t="s">
        <v>65</v>
      </c>
      <c r="C15" s="27">
        <f>IFERROR(SUM('Data Sheet'!B23:B24),0)</f>
        <v>0</v>
      </c>
      <c r="D15" s="27">
        <f>IFERROR(SUM('Data Sheet'!C23:C24),0)</f>
        <v>614.21</v>
      </c>
      <c r="E15" s="27">
        <f>IFERROR(SUM('Data Sheet'!D23:D24),0)</f>
        <v>665.06000000000006</v>
      </c>
      <c r="F15" s="27">
        <f>IFERROR(SUM('Data Sheet'!E23:E24),0)</f>
        <v>645.41</v>
      </c>
      <c r="G15" s="27">
        <f>IFERROR(SUM('Data Sheet'!F23:F24),0)</f>
        <v>187.66</v>
      </c>
      <c r="H15" s="27">
        <f>IFERROR(SUM('Data Sheet'!G23:G24),0)</f>
        <v>247.37</v>
      </c>
      <c r="I15" s="27">
        <f>IFERROR(SUM('Data Sheet'!H23:H24),0)</f>
        <v>310.06</v>
      </c>
      <c r="J15" s="27">
        <f>IFERROR(SUM('Data Sheet'!I23:I24),0)</f>
        <v>397.48</v>
      </c>
      <c r="K15" s="27">
        <f>IFERROR(SUM('Data Sheet'!J23:J24),0)</f>
        <v>505.80999999999995</v>
      </c>
      <c r="L15" s="27">
        <f>IFERROR(SUM('Data Sheet'!K23:K24),0)</f>
        <v>706.57</v>
      </c>
      <c r="M15" s="27"/>
    </row>
    <row r="16" spans="1:13" x14ac:dyDescent="0.2">
      <c r="B16" s="24" t="s">
        <v>66</v>
      </c>
      <c r="C16" s="26" t="e">
        <f>C15/C6</f>
        <v>#DIV/0!</v>
      </c>
      <c r="D16" s="26">
        <f t="shared" ref="D16:M16" si="4">D15/D6</f>
        <v>0.3819096414758808</v>
      </c>
      <c r="E16" s="26">
        <f t="shared" si="4"/>
        <v>0.38462116787054762</v>
      </c>
      <c r="F16" s="26">
        <f t="shared" si="4"/>
        <v>0.38166905181488092</v>
      </c>
      <c r="G16" s="26">
        <f t="shared" si="4"/>
        <v>0.17719989046580362</v>
      </c>
      <c r="H16" s="26">
        <f t="shared" si="4"/>
        <v>9.876350976376129E-2</v>
      </c>
      <c r="I16" s="26">
        <f t="shared" si="4"/>
        <v>7.8866375341476197E-2</v>
      </c>
      <c r="J16" s="26">
        <f t="shared" si="4"/>
        <v>8.7116994696006658E-2</v>
      </c>
      <c r="K16" s="26">
        <f t="shared" si="4"/>
        <v>9.3564211749124104E-2</v>
      </c>
      <c r="L16" s="26">
        <f t="shared" si="4"/>
        <v>0.10052984579836835</v>
      </c>
      <c r="M16" s="26">
        <f t="shared" si="4"/>
        <v>0</v>
      </c>
    </row>
    <row r="18" spans="2:13" x14ac:dyDescent="0.2">
      <c r="B18" s="13" t="s">
        <v>28</v>
      </c>
      <c r="C18" s="27">
        <f t="shared" ref="C18:L18" si="5">C12-C15</f>
        <v>0</v>
      </c>
      <c r="D18" s="27">
        <f t="shared" si="5"/>
        <v>140.91999999999996</v>
      </c>
      <c r="E18" s="27">
        <f t="shared" si="5"/>
        <v>113.40000000000009</v>
      </c>
      <c r="F18" s="27">
        <f t="shared" si="5"/>
        <v>156.06000000000006</v>
      </c>
      <c r="G18" s="27">
        <f t="shared" si="5"/>
        <v>93.650000000000063</v>
      </c>
      <c r="H18" s="27">
        <f t="shared" si="5"/>
        <v>404.10000000000025</v>
      </c>
      <c r="I18" s="27">
        <f t="shared" si="5"/>
        <v>945.61999999999989</v>
      </c>
      <c r="J18" s="27">
        <f t="shared" si="5"/>
        <v>1240.5300000000007</v>
      </c>
      <c r="K18" s="27">
        <f t="shared" si="5"/>
        <v>1492.1200000000008</v>
      </c>
      <c r="L18" s="27">
        <f t="shared" si="5"/>
        <v>1848.7999999999997</v>
      </c>
      <c r="M18" s="27">
        <f>IFERROR(SUM('Data Sheet'!H51:K51),0)</f>
        <v>2184.81</v>
      </c>
    </row>
    <row r="19" spans="2:13" x14ac:dyDescent="0.2">
      <c r="B19" s="24" t="s">
        <v>67</v>
      </c>
      <c r="C19" s="26" t="e">
        <f>C18/C6</f>
        <v>#DIV/0!</v>
      </c>
      <c r="D19" s="26">
        <f t="shared" ref="D19:M19" si="6">D18/D6</f>
        <v>8.7622648079290641E-2</v>
      </c>
      <c r="E19" s="26">
        <f t="shared" si="6"/>
        <v>6.5582113548431922E-2</v>
      </c>
      <c r="F19" s="26">
        <f t="shared" si="6"/>
        <v>9.2287495121287783E-2</v>
      </c>
      <c r="G19" s="26">
        <f t="shared" si="6"/>
        <v>8.8429978376438872E-2</v>
      </c>
      <c r="H19" s="26">
        <f t="shared" si="6"/>
        <v>0.16133861945885097</v>
      </c>
      <c r="I19" s="26">
        <f t="shared" si="6"/>
        <v>0.24052642021030352</v>
      </c>
      <c r="J19" s="26">
        <f t="shared" si="6"/>
        <v>0.27189102704598267</v>
      </c>
      <c r="K19" s="26">
        <f t="shared" si="6"/>
        <v>0.27601081757004242</v>
      </c>
      <c r="L19" s="26">
        <f t="shared" si="6"/>
        <v>0.26304482062927009</v>
      </c>
      <c r="M19" s="26">
        <f t="shared" si="6"/>
        <v>0.27512721805192991</v>
      </c>
    </row>
    <row r="21" spans="2:13" x14ac:dyDescent="0.2">
      <c r="B21" s="13" t="s">
        <v>22</v>
      </c>
      <c r="C21" s="27">
        <f>IFERROR('Data Sheet'!B27,0)</f>
        <v>0</v>
      </c>
      <c r="D21" s="27">
        <f>IFERROR('Data Sheet'!C27,0)</f>
        <v>99.68</v>
      </c>
      <c r="E21" s="27">
        <f>IFERROR('Data Sheet'!D27,0)</f>
        <v>99.37</v>
      </c>
      <c r="F21" s="27">
        <f>IFERROR('Data Sheet'!E27,0)</f>
        <v>101.27</v>
      </c>
      <c r="G21" s="27">
        <f>IFERROR('Data Sheet'!F27,0)</f>
        <v>83.24</v>
      </c>
      <c r="H21" s="27">
        <f>IFERROR('Data Sheet'!G27,0)</f>
        <v>179.46</v>
      </c>
      <c r="I21" s="27">
        <f>IFERROR('Data Sheet'!H27,0)</f>
        <v>100.87</v>
      </c>
      <c r="J21" s="27">
        <f>IFERROR('Data Sheet'!I27,0)</f>
        <v>83.86</v>
      </c>
      <c r="K21" s="27">
        <f>IFERROR('Data Sheet'!J27,0)</f>
        <v>59.89</v>
      </c>
      <c r="L21" s="27">
        <f>IFERROR('Data Sheet'!K27,0)</f>
        <v>165.02</v>
      </c>
      <c r="M21" s="27">
        <f>IFERROR(SUM('Data Sheet'!H46:K46),0)</f>
        <v>216.37</v>
      </c>
    </row>
    <row r="22" spans="2:13" x14ac:dyDescent="0.2">
      <c r="B22" s="24" t="s">
        <v>68</v>
      </c>
      <c r="C22" s="26" t="e">
        <f>C21/C6</f>
        <v>#DIV/0!</v>
      </c>
      <c r="D22" s="26">
        <f t="shared" ref="D22:M22" si="7">D21/D6</f>
        <v>6.1980028104908415E-2</v>
      </c>
      <c r="E22" s="26">
        <f t="shared" si="7"/>
        <v>5.7468206554741399E-2</v>
      </c>
      <c r="F22" s="26">
        <f t="shared" si="7"/>
        <v>5.9886932147461297E-2</v>
      </c>
      <c r="G22" s="26">
        <f t="shared" si="7"/>
        <v>7.8600228510995906E-2</v>
      </c>
      <c r="H22" s="26">
        <f t="shared" si="7"/>
        <v>7.1650157505779202E-2</v>
      </c>
      <c r="I22" s="26">
        <f t="shared" si="7"/>
        <v>2.5657135008368394E-2</v>
      </c>
      <c r="J22" s="26">
        <f t="shared" si="7"/>
        <v>1.8379871126112304E-2</v>
      </c>
      <c r="K22" s="26">
        <f t="shared" si="7"/>
        <v>1.1078390387012995E-2</v>
      </c>
      <c r="L22" s="26">
        <f t="shared" si="7"/>
        <v>2.3478827509867028E-2</v>
      </c>
      <c r="M22" s="26">
        <f t="shared" si="7"/>
        <v>2.724688928094254E-2</v>
      </c>
    </row>
    <row r="24" spans="2:13" x14ac:dyDescent="0.2">
      <c r="B24" s="13" t="s">
        <v>21</v>
      </c>
      <c r="C24" s="27">
        <f>IFERROR('Data Sheet'!B26,0)</f>
        <v>0</v>
      </c>
      <c r="D24" s="27">
        <f>IFERROR('Data Sheet'!C26,0)</f>
        <v>95.51</v>
      </c>
      <c r="E24" s="27">
        <f>IFERROR('Data Sheet'!D26,0)</f>
        <v>94.42</v>
      </c>
      <c r="F24" s="27">
        <f>IFERROR('Data Sheet'!E26,0)</f>
        <v>102.64</v>
      </c>
      <c r="G24" s="27">
        <f>IFERROR('Data Sheet'!F26,0)</f>
        <v>45.64</v>
      </c>
      <c r="H24" s="27">
        <f>IFERROR('Data Sheet'!G26,0)</f>
        <v>174.09</v>
      </c>
      <c r="I24" s="27">
        <f>IFERROR('Data Sheet'!H26,0)</f>
        <v>221.12</v>
      </c>
      <c r="J24" s="27">
        <f>IFERROR('Data Sheet'!I26,0)</f>
        <v>232.19</v>
      </c>
      <c r="K24" s="27">
        <f>IFERROR('Data Sheet'!J26,0)</f>
        <v>244.98</v>
      </c>
      <c r="L24" s="27">
        <f>IFERROR('Data Sheet'!K26,0)</f>
        <v>359.42</v>
      </c>
      <c r="M24" s="27">
        <f>IFERROR(SUM('Data Sheet'!H45:K45),0)</f>
        <v>410.61</v>
      </c>
    </row>
    <row r="25" spans="2:13" x14ac:dyDescent="0.2">
      <c r="B25" s="24" t="s">
        <v>69</v>
      </c>
      <c r="C25" s="26" t="e">
        <f>C24/C6</f>
        <v>#DIV/0!</v>
      </c>
      <c r="D25" s="26">
        <f t="shared" ref="D25:M25" si="8">D24/D6</f>
        <v>5.9387163767052595E-2</v>
      </c>
      <c r="E25" s="26">
        <f t="shared" si="8"/>
        <v>5.4605495249055884E-2</v>
      </c>
      <c r="F25" s="26">
        <f t="shared" si="8"/>
        <v>6.069709406157231E-2</v>
      </c>
      <c r="G25" s="26">
        <f t="shared" si="8"/>
        <v>4.3096040716504726E-2</v>
      </c>
      <c r="H25" s="26">
        <f t="shared" si="8"/>
        <v>6.9506162488471537E-2</v>
      </c>
      <c r="I25" s="26">
        <f t="shared" si="8"/>
        <v>5.6243736423618705E-2</v>
      </c>
      <c r="J25" s="26">
        <f t="shared" si="8"/>
        <v>5.0889843510279219E-2</v>
      </c>
      <c r="K25" s="26">
        <f t="shared" si="8"/>
        <v>4.5316147554023099E-2</v>
      </c>
      <c r="L25" s="26">
        <f t="shared" si="8"/>
        <v>5.1137802591179296E-2</v>
      </c>
      <c r="M25" s="26">
        <f t="shared" si="8"/>
        <v>5.1707007476303635E-2</v>
      </c>
    </row>
    <row r="27" spans="2:13" x14ac:dyDescent="0.2">
      <c r="B27" s="13" t="s">
        <v>71</v>
      </c>
      <c r="C27" s="27">
        <f>IFERROR(C18-SUM(C24,C21),0)</f>
        <v>0</v>
      </c>
      <c r="D27" s="27">
        <f t="shared" ref="D27:M27" si="9">IFERROR(D18-SUM(D24,D21),0)</f>
        <v>-54.270000000000039</v>
      </c>
      <c r="E27" s="27">
        <f t="shared" si="9"/>
        <v>-80.38999999999993</v>
      </c>
      <c r="F27" s="27">
        <f t="shared" si="9"/>
        <v>-47.849999999999937</v>
      </c>
      <c r="G27" s="27">
        <f t="shared" si="9"/>
        <v>-35.229999999999933</v>
      </c>
      <c r="H27" s="27">
        <f t="shared" si="9"/>
        <v>50.550000000000239</v>
      </c>
      <c r="I27" s="23">
        <f t="shared" si="9"/>
        <v>623.62999999999988</v>
      </c>
      <c r="J27" s="23">
        <f t="shared" si="9"/>
        <v>924.4800000000007</v>
      </c>
      <c r="K27" s="23">
        <f t="shared" si="9"/>
        <v>1187.2500000000009</v>
      </c>
      <c r="L27" s="23">
        <f t="shared" si="9"/>
        <v>1324.3599999999997</v>
      </c>
      <c r="M27" s="23">
        <f t="shared" si="9"/>
        <v>1557.83</v>
      </c>
    </row>
    <row r="28" spans="2:13" x14ac:dyDescent="0.2">
      <c r="B28" s="24" t="s">
        <v>72</v>
      </c>
      <c r="C28" s="26" t="e">
        <f>C27/C6</f>
        <v>#DIV/0!</v>
      </c>
      <c r="D28" s="26">
        <f t="shared" ref="D28:M28" si="10">D27/D6</f>
        <v>-3.3744543792670362E-2</v>
      </c>
      <c r="E28" s="26">
        <f t="shared" si="10"/>
        <v>-4.6491588255365368E-2</v>
      </c>
      <c r="F28" s="26">
        <f t="shared" si="10"/>
        <v>-2.8296531087745821E-2</v>
      </c>
      <c r="G28" s="26">
        <f t="shared" si="10"/>
        <v>-3.326629085106176E-2</v>
      </c>
      <c r="H28" s="26">
        <f t="shared" si="10"/>
        <v>2.018229946460022E-2</v>
      </c>
      <c r="I28" s="26">
        <f t="shared" si="10"/>
        <v>0.15862554877831642</v>
      </c>
      <c r="J28" s="26">
        <f t="shared" si="10"/>
        <v>0.20262131240959116</v>
      </c>
      <c r="K28" s="26">
        <f t="shared" si="10"/>
        <v>0.21961627962900634</v>
      </c>
      <c r="L28" s="26">
        <f t="shared" si="10"/>
        <v>0.18842819052822377</v>
      </c>
      <c r="M28" s="26">
        <f t="shared" si="10"/>
        <v>0.19617332129468371</v>
      </c>
    </row>
    <row r="30" spans="2:13" x14ac:dyDescent="0.2">
      <c r="B30" s="13" t="s">
        <v>24</v>
      </c>
      <c r="C30" s="23">
        <f>IFERROR('Data Sheet'!B29,0)</f>
        <v>0</v>
      </c>
      <c r="D30" s="23">
        <f>IFERROR('Data Sheet'!C29,0)</f>
        <v>-11.09</v>
      </c>
      <c r="E30" s="23">
        <f>IFERROR('Data Sheet'!D29,0)</f>
        <v>9.9499999999999993</v>
      </c>
      <c r="F30" s="23">
        <f>IFERROR('Data Sheet'!E29,0)</f>
        <v>8.51</v>
      </c>
      <c r="G30" s="23">
        <f>IFERROR('Data Sheet'!F29,0)</f>
        <v>-0.13</v>
      </c>
      <c r="H30" s="23">
        <f>IFERROR('Data Sheet'!G29,0)</f>
        <v>45.85</v>
      </c>
      <c r="I30" s="23">
        <f>IFERROR('Data Sheet'!H29,0)</f>
        <v>133.85</v>
      </c>
      <c r="J30" s="23">
        <f>IFERROR('Data Sheet'!I29,0)</f>
        <v>-39.79</v>
      </c>
      <c r="K30" s="23">
        <f>IFERROR('Data Sheet'!J29,0)</f>
        <v>307.68</v>
      </c>
      <c r="L30" s="23">
        <f>IFERROR('Data Sheet'!K29,0)</f>
        <v>330.49</v>
      </c>
      <c r="M30" s="23">
        <f>IFERROR(SUM('Data Sheet'!H48:K48),0)</f>
        <v>200.75999999999996</v>
      </c>
    </row>
    <row r="31" spans="2:13" x14ac:dyDescent="0.2">
      <c r="B31" s="24" t="s">
        <v>27</v>
      </c>
      <c r="C31" s="26" t="e">
        <f>C30/C27</f>
        <v>#DIV/0!</v>
      </c>
      <c r="D31" s="26">
        <f t="shared" ref="D31:M31" si="11">D30/D27</f>
        <v>0.20434862723419922</v>
      </c>
      <c r="E31" s="26">
        <f t="shared" si="11"/>
        <v>-0.12377161338474944</v>
      </c>
      <c r="F31" s="26">
        <f t="shared" si="11"/>
        <v>-0.17784743991640567</v>
      </c>
      <c r="G31" s="26">
        <f t="shared" si="11"/>
        <v>3.690036900369011E-3</v>
      </c>
      <c r="H31" s="26">
        <f t="shared" si="11"/>
        <v>0.9070227497527158</v>
      </c>
      <c r="I31" s="26">
        <f t="shared" si="11"/>
        <v>0.21463046999021859</v>
      </c>
      <c r="J31" s="26">
        <f t="shared" si="11"/>
        <v>-4.3040411907234302E-2</v>
      </c>
      <c r="K31" s="26">
        <f t="shared" si="11"/>
        <v>0.25915350600126325</v>
      </c>
      <c r="L31" s="26">
        <f t="shared" si="11"/>
        <v>0.2495469509800961</v>
      </c>
      <c r="M31" s="26">
        <f t="shared" si="11"/>
        <v>0.12887157135245822</v>
      </c>
    </row>
    <row r="33" spans="1:13" x14ac:dyDescent="0.2">
      <c r="B33" s="13" t="s">
        <v>73</v>
      </c>
      <c r="C33" s="23">
        <f>IFERROR(C27-C30,0)</f>
        <v>0</v>
      </c>
      <c r="D33" s="23">
        <f t="shared" ref="D33:M33" si="12">IFERROR(D27-D30,0)</f>
        <v>-43.180000000000035</v>
      </c>
      <c r="E33" s="23">
        <f t="shared" si="12"/>
        <v>-90.339999999999932</v>
      </c>
      <c r="F33" s="23">
        <f t="shared" si="12"/>
        <v>-56.359999999999935</v>
      </c>
      <c r="G33" s="23">
        <f t="shared" si="12"/>
        <v>-35.09999999999993</v>
      </c>
      <c r="H33" s="23">
        <f t="shared" si="12"/>
        <v>4.7000000000002373</v>
      </c>
      <c r="I33" s="23">
        <f t="shared" si="12"/>
        <v>489.77999999999986</v>
      </c>
      <c r="J33" s="23">
        <f t="shared" si="12"/>
        <v>964.27000000000066</v>
      </c>
      <c r="K33" s="23">
        <f t="shared" si="12"/>
        <v>879.57000000000085</v>
      </c>
      <c r="L33" s="23">
        <f t="shared" si="12"/>
        <v>993.86999999999966</v>
      </c>
      <c r="M33" s="23">
        <f t="shared" si="12"/>
        <v>1357.07</v>
      </c>
    </row>
    <row r="34" spans="1:13" x14ac:dyDescent="0.2">
      <c r="B34" s="24" t="s">
        <v>74</v>
      </c>
      <c r="C34" s="26" t="e">
        <f>C33/C6</f>
        <v>#DIV/0!</v>
      </c>
      <c r="D34" s="26">
        <f t="shared" ref="D34:M34" si="13">D33/D6</f>
        <v>-2.6848892591993852E-2</v>
      </c>
      <c r="E34" s="26">
        <f t="shared" si="13"/>
        <v>-5.2245927142551413E-2</v>
      </c>
      <c r="F34" s="26">
        <f t="shared" si="13"/>
        <v>-3.3328996700216398E-2</v>
      </c>
      <c r="G34" s="26">
        <f t="shared" si="13"/>
        <v>-3.3143537010282928E-2</v>
      </c>
      <c r="H34" s="26">
        <f t="shared" si="13"/>
        <v>1.8764947078857644E-3</v>
      </c>
      <c r="I34" s="26">
        <f t="shared" si="13"/>
        <v>0.12457967269157001</v>
      </c>
      <c r="J34" s="26">
        <f t="shared" si="13"/>
        <v>0.21134221715688437</v>
      </c>
      <c r="K34" s="26">
        <f t="shared" si="13"/>
        <v>0.16270195078819552</v>
      </c>
      <c r="L34" s="26">
        <f t="shared" si="13"/>
        <v>0.1414065101032089</v>
      </c>
      <c r="M34" s="26">
        <f t="shared" si="13"/>
        <v>0.17089215712200717</v>
      </c>
    </row>
    <row r="36" spans="1:13" x14ac:dyDescent="0.2">
      <c r="B36" s="13" t="s">
        <v>75</v>
      </c>
      <c r="C36" s="13">
        <f>IFERROR('Data Sheet'!B93,0)</f>
        <v>0</v>
      </c>
      <c r="D36" s="13">
        <f>IFERROR('Data Sheet'!C93,0)</f>
        <v>53.72</v>
      </c>
      <c r="E36" s="13">
        <f>IFERROR('Data Sheet'!D93,0)</f>
        <v>53.72</v>
      </c>
      <c r="F36" s="13">
        <f>IFERROR('Data Sheet'!E93,0)</f>
        <v>53.72</v>
      </c>
      <c r="G36" s="13">
        <f>IFERROR('Data Sheet'!F93,0)</f>
        <v>53.72</v>
      </c>
      <c r="H36" s="13">
        <f>IFERROR('Data Sheet'!G93,0)</f>
        <v>96.59</v>
      </c>
      <c r="I36" s="13">
        <f>IFERROR('Data Sheet'!H93,0)</f>
        <v>96.96</v>
      </c>
      <c r="J36" s="13">
        <f>IFERROR('Data Sheet'!I93,0)</f>
        <v>97.09</v>
      </c>
      <c r="K36" s="13">
        <f>IFERROR('Data Sheet'!J93,0)</f>
        <v>97.19</v>
      </c>
      <c r="L36" s="13">
        <f>IFERROR('Data Sheet'!K93,0)</f>
        <v>97.21</v>
      </c>
      <c r="M36" s="13">
        <f>L36</f>
        <v>97.21</v>
      </c>
    </row>
    <row r="37" spans="1:13" x14ac:dyDescent="0.2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x14ac:dyDescent="0.2">
      <c r="B38" s="13" t="s">
        <v>77</v>
      </c>
      <c r="C38" s="27">
        <f>IFERROR(C33/C36,0)</f>
        <v>0</v>
      </c>
      <c r="D38" s="27">
        <f t="shared" ref="D38:M38" si="14">IFERROR(D33/D36,0)</f>
        <v>-0.803797468354431</v>
      </c>
      <c r="E38" s="27">
        <f t="shared" si="14"/>
        <v>-1.6816827997021582</v>
      </c>
      <c r="F38" s="27">
        <f t="shared" si="14"/>
        <v>-1.0491437081161568</v>
      </c>
      <c r="G38" s="27">
        <f t="shared" si="14"/>
        <v>-0.65338793745346113</v>
      </c>
      <c r="H38" s="27">
        <f t="shared" si="14"/>
        <v>4.865928149912245E-2</v>
      </c>
      <c r="I38" s="27">
        <f t="shared" si="14"/>
        <v>5.0513613861386126</v>
      </c>
      <c r="J38" s="27">
        <f t="shared" si="14"/>
        <v>9.9317128437532247</v>
      </c>
      <c r="K38" s="27">
        <f t="shared" si="14"/>
        <v>9.0500051445622063</v>
      </c>
      <c r="L38" s="27">
        <f t="shared" si="14"/>
        <v>10.22394815348215</v>
      </c>
      <c r="M38" s="27">
        <f t="shared" si="14"/>
        <v>13.960189280938176</v>
      </c>
    </row>
    <row r="39" spans="1:13" x14ac:dyDescent="0.2">
      <c r="B39" s="24" t="s">
        <v>78</v>
      </c>
      <c r="C39" s="26"/>
      <c r="D39" s="26">
        <f>IFERROR(D38/C38-1,0)</f>
        <v>0</v>
      </c>
      <c r="E39" s="26">
        <f t="shared" ref="E39:M39" si="15">IFERROR(E38/D38-1,0)</f>
        <v>1.0921723019916598</v>
      </c>
      <c r="F39" s="26">
        <f t="shared" si="15"/>
        <v>-0.37613460261235354</v>
      </c>
      <c r="G39" s="26">
        <f t="shared" si="15"/>
        <v>-0.37721788502484088</v>
      </c>
      <c r="H39" s="26">
        <f t="shared" si="15"/>
        <v>-1.0744722678670331</v>
      </c>
      <c r="I39" s="26">
        <f t="shared" si="15"/>
        <v>102.8108502738519</v>
      </c>
      <c r="J39" s="26">
        <f t="shared" si="15"/>
        <v>0.96614577428705317</v>
      </c>
      <c r="K39" s="26">
        <f t="shared" si="15"/>
        <v>-8.8777002825407791E-2</v>
      </c>
      <c r="L39" s="26">
        <f t="shared" si="15"/>
        <v>0.12971738581003134</v>
      </c>
      <c r="M39" s="26">
        <f t="shared" si="15"/>
        <v>0.36544014810790171</v>
      </c>
    </row>
    <row r="41" spans="1:13" x14ac:dyDescent="0.2">
      <c r="B41" s="13" t="s">
        <v>76</v>
      </c>
      <c r="C41" s="23">
        <f>IFERROR('Data Sheet'!B31/HistoricalFS!C36,0)</f>
        <v>0</v>
      </c>
      <c r="D41" s="23">
        <f>IFERROR('Data Sheet'!C31/HistoricalFS!D36,0)</f>
        <v>0</v>
      </c>
      <c r="E41" s="23">
        <f>IFERROR('Data Sheet'!D31/HistoricalFS!E36,0)</f>
        <v>0</v>
      </c>
      <c r="F41" s="23">
        <f>IFERROR('Data Sheet'!E31/HistoricalFS!F36,0)</f>
        <v>0</v>
      </c>
      <c r="G41" s="23">
        <f>IFERROR('Data Sheet'!F31/HistoricalFS!G36,0)</f>
        <v>0</v>
      </c>
      <c r="H41" s="23">
        <f>IFERROR('Data Sheet'!G31/HistoricalFS!H36,0)</f>
        <v>0</v>
      </c>
      <c r="I41" s="23">
        <f>IFERROR('Data Sheet'!H31/HistoricalFS!I36,0)</f>
        <v>0</v>
      </c>
      <c r="J41" s="23">
        <f>IFERROR('Data Sheet'!I31/HistoricalFS!J36,0)</f>
        <v>1</v>
      </c>
      <c r="K41" s="23">
        <f>IFERROR('Data Sheet'!J31/HistoricalFS!K36,0)</f>
        <v>1.5000514456219776</v>
      </c>
      <c r="L41" s="23">
        <f>IFERROR('Data Sheet'!K31/HistoricalFS!L36,0)</f>
        <v>1.5000514350375476</v>
      </c>
      <c r="M41" s="23">
        <f>IFERROR('Data Sheet'!L31/HistoricalFS!M36,0)</f>
        <v>0</v>
      </c>
    </row>
    <row r="42" spans="1:13" x14ac:dyDescent="0.2">
      <c r="B42" s="24" t="s">
        <v>79</v>
      </c>
      <c r="C42" s="26">
        <f>IFERROR(C41/C38,0)</f>
        <v>0</v>
      </c>
      <c r="D42" s="26">
        <f t="shared" ref="D42:M42" si="16">IFERROR(D41/D38,0)</f>
        <v>0</v>
      </c>
      <c r="E42" s="26">
        <f t="shared" si="16"/>
        <v>0</v>
      </c>
      <c r="F42" s="26">
        <f t="shared" si="16"/>
        <v>0</v>
      </c>
      <c r="G42" s="26">
        <f t="shared" si="16"/>
        <v>0</v>
      </c>
      <c r="H42" s="26">
        <f t="shared" si="16"/>
        <v>0</v>
      </c>
      <c r="I42" s="26">
        <f t="shared" si="16"/>
        <v>0</v>
      </c>
      <c r="J42" s="26">
        <f t="shared" si="16"/>
        <v>0.10068756676034714</v>
      </c>
      <c r="K42" s="26">
        <f t="shared" si="16"/>
        <v>0.16575144672965184</v>
      </c>
      <c r="L42" s="26">
        <f t="shared" si="16"/>
        <v>0.14671938985984084</v>
      </c>
      <c r="M42" s="26">
        <f t="shared" si="16"/>
        <v>0</v>
      </c>
    </row>
    <row r="44" spans="1:13" x14ac:dyDescent="0.2">
      <c r="B44" s="13" t="s">
        <v>80</v>
      </c>
      <c r="C44" s="28">
        <f>IFERROR(IF(C38&gt;C41,1-C42,0),0)</f>
        <v>0</v>
      </c>
      <c r="D44" s="28">
        <f t="shared" ref="D44:M44" si="17">IFERROR(IF(D38&gt;D41,1-D42,0),0)</f>
        <v>0</v>
      </c>
      <c r="E44" s="28">
        <f t="shared" si="17"/>
        <v>0</v>
      </c>
      <c r="F44" s="28">
        <f t="shared" si="17"/>
        <v>0</v>
      </c>
      <c r="G44" s="28">
        <f t="shared" si="17"/>
        <v>0</v>
      </c>
      <c r="H44" s="28">
        <f t="shared" si="17"/>
        <v>1</v>
      </c>
      <c r="I44" s="28">
        <f t="shared" si="17"/>
        <v>1</v>
      </c>
      <c r="J44" s="28">
        <f t="shared" si="17"/>
        <v>0.89931243323965282</v>
      </c>
      <c r="K44" s="28">
        <f t="shared" si="17"/>
        <v>0.83424855327034819</v>
      </c>
      <c r="L44" s="28">
        <f t="shared" si="17"/>
        <v>0.8532806101401591</v>
      </c>
      <c r="M44" s="28">
        <f t="shared" si="17"/>
        <v>1</v>
      </c>
    </row>
    <row r="46" spans="1:13" x14ac:dyDescent="0.2">
      <c r="A46" s="13" t="s">
        <v>59</v>
      </c>
      <c r="B46" s="21" t="s">
        <v>81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2">
      <c r="B47" s="13" t="s">
        <v>33</v>
      </c>
      <c r="C47" s="23">
        <f>IFERROR('Data Sheet'!B57,0)</f>
        <v>0</v>
      </c>
      <c r="D47" s="23">
        <f>IFERROR('Data Sheet'!C57,0)</f>
        <v>537.24</v>
      </c>
      <c r="E47" s="23">
        <f>IFERROR('Data Sheet'!D57,0)</f>
        <v>537.24</v>
      </c>
      <c r="F47" s="23">
        <f>IFERROR('Data Sheet'!E57,0)</f>
        <v>537.24</v>
      </c>
      <c r="G47" s="23">
        <f>IFERROR('Data Sheet'!F57,0)</f>
        <v>537.24</v>
      </c>
      <c r="H47" s="23">
        <f>IFERROR('Data Sheet'!G57,0)</f>
        <v>965.95</v>
      </c>
      <c r="I47" s="23">
        <f>IFERROR('Data Sheet'!H57,0)</f>
        <v>969.61</v>
      </c>
      <c r="J47" s="23">
        <f>IFERROR('Data Sheet'!I57,0)</f>
        <v>970.92</v>
      </c>
      <c r="K47" s="23">
        <f>IFERROR('Data Sheet'!J57,0)</f>
        <v>971.91</v>
      </c>
      <c r="L47" s="23">
        <f>IFERROR('Data Sheet'!K57,0)</f>
        <v>972.14</v>
      </c>
    </row>
    <row r="48" spans="1:13" x14ac:dyDescent="0.2">
      <c r="B48" s="13" t="s">
        <v>34</v>
      </c>
      <c r="C48" s="23">
        <f>IFERROR('Data Sheet'!B58,0)</f>
        <v>0</v>
      </c>
      <c r="D48" s="23">
        <f>IFERROR('Data Sheet'!C58,0)</f>
        <v>655.14</v>
      </c>
      <c r="E48" s="23">
        <f>IFERROR('Data Sheet'!D58,0)</f>
        <v>626.66999999999996</v>
      </c>
      <c r="F48" s="23">
        <f>IFERROR('Data Sheet'!E58,0)</f>
        <v>425.95</v>
      </c>
      <c r="G48" s="23">
        <f>IFERROR('Data Sheet'!F58,0)</f>
        <v>2015.91</v>
      </c>
      <c r="H48" s="23">
        <f>IFERROR('Data Sheet'!G58,0)</f>
        <v>4672.7299999999996</v>
      </c>
      <c r="I48" s="23">
        <f>IFERROR('Data Sheet'!H58,0)</f>
        <v>5312.86</v>
      </c>
      <c r="J48" s="23">
        <f>IFERROR('Data Sheet'!I58,0)</f>
        <v>6438.67</v>
      </c>
      <c r="K48" s="23">
        <f>IFERROR('Data Sheet'!J58,0)</f>
        <v>7436.23</v>
      </c>
      <c r="L48" s="23">
        <f>IFERROR('Data Sheet'!K58,0)</f>
        <v>8408.73</v>
      </c>
    </row>
    <row r="49" spans="2:13" x14ac:dyDescent="0.2">
      <c r="B49" s="13" t="s">
        <v>35</v>
      </c>
      <c r="C49" s="23">
        <f>IFERROR('Data Sheet'!B59,0)</f>
        <v>0</v>
      </c>
      <c r="D49" s="23">
        <f>IFERROR('Data Sheet'!C59,0)</f>
        <v>874.09</v>
      </c>
      <c r="E49" s="23">
        <f>IFERROR('Data Sheet'!D59,0)</f>
        <v>980.52</v>
      </c>
      <c r="F49" s="23">
        <f>IFERROR('Data Sheet'!E59,0)</f>
        <v>1002.75</v>
      </c>
      <c r="G49" s="23">
        <f>IFERROR('Data Sheet'!F59,0)</f>
        <v>874.74</v>
      </c>
      <c r="H49" s="23">
        <f>IFERROR('Data Sheet'!G59,0)</f>
        <v>1101.4100000000001</v>
      </c>
      <c r="I49" s="23">
        <f>IFERROR('Data Sheet'!H59,0)</f>
        <v>913.38</v>
      </c>
      <c r="J49" s="23">
        <f>IFERROR('Data Sheet'!I59,0)</f>
        <v>688.96</v>
      </c>
      <c r="K49" s="23">
        <f>IFERROR('Data Sheet'!J59,0)</f>
        <v>1298.95</v>
      </c>
      <c r="L49" s="23">
        <f>IFERROR('Data Sheet'!K59,0)</f>
        <v>3010.29</v>
      </c>
    </row>
    <row r="50" spans="2:13" x14ac:dyDescent="0.2">
      <c r="B50" s="13" t="s">
        <v>36</v>
      </c>
      <c r="C50" s="23">
        <f>IFERROR('Data Sheet'!B60,0)</f>
        <v>0</v>
      </c>
      <c r="D50" s="23">
        <f>IFERROR('Data Sheet'!C60,0)</f>
        <v>1079.6300000000001</v>
      </c>
      <c r="E50" s="23">
        <f>IFERROR('Data Sheet'!D60,0)</f>
        <v>1157.0899999999999</v>
      </c>
      <c r="F50" s="23">
        <f>IFERROR('Data Sheet'!E60,0)</f>
        <v>1388.6</v>
      </c>
      <c r="G50" s="23">
        <f>IFERROR('Data Sheet'!F60,0)</f>
        <v>545.77</v>
      </c>
      <c r="H50" s="23">
        <f>IFERROR('Data Sheet'!G60,0)</f>
        <v>1803.37</v>
      </c>
      <c r="I50" s="23">
        <f>IFERROR('Data Sheet'!H60,0)</f>
        <v>1993.28</v>
      </c>
      <c r="J50" s="23">
        <f>IFERROR('Data Sheet'!I60,0)</f>
        <v>2003.3</v>
      </c>
      <c r="K50" s="23">
        <f>IFERROR('Data Sheet'!J60,0)</f>
        <v>2292.85</v>
      </c>
      <c r="L50" s="23">
        <f>IFERROR('Data Sheet'!K60,0)</f>
        <v>2795.28</v>
      </c>
    </row>
    <row r="51" spans="2:13" x14ac:dyDescent="0.2">
      <c r="B51" s="29" t="s">
        <v>82</v>
      </c>
      <c r="C51" s="30">
        <f>IFERROR('Data Sheet'!B61,0)</f>
        <v>0</v>
      </c>
      <c r="D51" s="30">
        <f>IFERROR('Data Sheet'!C61,0)</f>
        <v>3146.1</v>
      </c>
      <c r="E51" s="30">
        <f>IFERROR('Data Sheet'!D61,0)</f>
        <v>3301.52</v>
      </c>
      <c r="F51" s="30">
        <f>IFERROR('Data Sheet'!E61,0)</f>
        <v>3354.54</v>
      </c>
      <c r="G51" s="30">
        <f>IFERROR('Data Sheet'!F61,0)</f>
        <v>3973.66</v>
      </c>
      <c r="H51" s="30">
        <f>IFERROR('Data Sheet'!G61,0)</f>
        <v>8543.4599999999991</v>
      </c>
      <c r="I51" s="30">
        <f>IFERROR('Data Sheet'!H61,0)</f>
        <v>9189.1299999999992</v>
      </c>
      <c r="J51" s="30">
        <f>IFERROR('Data Sheet'!I61,0)</f>
        <v>10101.85</v>
      </c>
      <c r="K51" s="30">
        <f>IFERROR('Data Sheet'!J61,0)</f>
        <v>11999.94</v>
      </c>
      <c r="L51" s="30">
        <f>IFERROR('Data Sheet'!K61,0)</f>
        <v>15186.44</v>
      </c>
      <c r="M51" s="29"/>
    </row>
    <row r="53" spans="2:13" x14ac:dyDescent="0.2">
      <c r="B53" s="13" t="s">
        <v>83</v>
      </c>
      <c r="C53" s="23">
        <f>IFERROR('Data Sheet'!B62,0)</f>
        <v>0</v>
      </c>
      <c r="D53" s="23">
        <f>IFERROR('Data Sheet'!C62,0)</f>
        <v>2244.2399999999998</v>
      </c>
      <c r="E53" s="23">
        <f>IFERROR('Data Sheet'!D62,0)</f>
        <v>2227.1799999999998</v>
      </c>
      <c r="F53" s="23">
        <f>IFERROR('Data Sheet'!E62,0)</f>
        <v>2192.37</v>
      </c>
      <c r="G53" s="23">
        <f>IFERROR('Data Sheet'!F62,0)</f>
        <v>850.95</v>
      </c>
      <c r="H53" s="23">
        <f>IFERROR('Data Sheet'!G62,0)</f>
        <v>6536.38</v>
      </c>
      <c r="I53" s="23">
        <f>IFERROR('Data Sheet'!H62,0)</f>
        <v>7017.58</v>
      </c>
      <c r="J53" s="23">
        <f>IFERROR('Data Sheet'!I62,0)</f>
        <v>7038.7</v>
      </c>
      <c r="K53" s="23">
        <f>IFERROR('Data Sheet'!J62,0)</f>
        <v>8783.69</v>
      </c>
      <c r="L53" s="23">
        <f>IFERROR('Data Sheet'!K62,0)</f>
        <v>11501.59</v>
      </c>
    </row>
    <row r="54" spans="2:13" x14ac:dyDescent="0.2">
      <c r="B54" s="13" t="s">
        <v>39</v>
      </c>
      <c r="C54" s="23">
        <f>IFERROR('Data Sheet'!B63,0)</f>
        <v>0</v>
      </c>
      <c r="D54" s="23">
        <f>IFERROR('Data Sheet'!C63,0)</f>
        <v>46.14</v>
      </c>
      <c r="E54" s="23">
        <f>IFERROR('Data Sheet'!D63,0)</f>
        <v>38.299999999999997</v>
      </c>
      <c r="F54" s="23">
        <f>IFERROR('Data Sheet'!E63,0)</f>
        <v>87.02</v>
      </c>
      <c r="G54" s="23">
        <f>IFERROR('Data Sheet'!F63,0)</f>
        <v>27.55</v>
      </c>
      <c r="H54" s="23">
        <f>IFERROR('Data Sheet'!G63,0)</f>
        <v>26.93</v>
      </c>
      <c r="I54" s="23">
        <f>IFERROR('Data Sheet'!H63,0)</f>
        <v>151.12</v>
      </c>
      <c r="J54" s="23">
        <f>IFERROR('Data Sheet'!I63,0)</f>
        <v>252.43</v>
      </c>
      <c r="K54" s="23">
        <f>IFERROR('Data Sheet'!J63,0)</f>
        <v>553.04</v>
      </c>
      <c r="L54" s="23">
        <f>IFERROR('Data Sheet'!K63,0)</f>
        <v>900.72</v>
      </c>
    </row>
    <row r="55" spans="2:13" x14ac:dyDescent="0.2">
      <c r="B55" s="13" t="s">
        <v>40</v>
      </c>
      <c r="C55" s="23">
        <f>IFERROR('Data Sheet'!B64,0)</f>
        <v>0</v>
      </c>
      <c r="D55" s="23">
        <f>IFERROR('Data Sheet'!C64,0)</f>
        <v>0</v>
      </c>
      <c r="E55" s="23">
        <f>IFERROR('Data Sheet'!D64,0)</f>
        <v>0</v>
      </c>
      <c r="F55" s="23">
        <f>IFERROR('Data Sheet'!E64,0)</f>
        <v>0.51</v>
      </c>
      <c r="G55" s="23">
        <f>IFERROR('Data Sheet'!F64,0)</f>
        <v>2182.06</v>
      </c>
      <c r="H55" s="23">
        <f>IFERROR('Data Sheet'!G64,0)</f>
        <v>0.51</v>
      </c>
      <c r="I55" s="23">
        <f>IFERROR('Data Sheet'!H64,0)</f>
        <v>0.51</v>
      </c>
      <c r="J55" s="23">
        <f>IFERROR('Data Sheet'!I64,0)</f>
        <v>0.51</v>
      </c>
      <c r="K55" s="23">
        <f>IFERROR('Data Sheet'!J64,0)</f>
        <v>2.12</v>
      </c>
      <c r="L55" s="23">
        <f>IFERROR('Data Sheet'!K64,0)</f>
        <v>2.89</v>
      </c>
    </row>
    <row r="56" spans="2:13" x14ac:dyDescent="0.2">
      <c r="B56" s="13" t="s">
        <v>41</v>
      </c>
      <c r="C56" s="23">
        <f>IFERROR('Data Sheet'!B65-SUM('Data Sheet'!B67:B69),0)</f>
        <v>0</v>
      </c>
      <c r="D56" s="23">
        <f>IFERROR('Data Sheet'!C65-SUM('Data Sheet'!C67:C69),0)</f>
        <v>575.03</v>
      </c>
      <c r="E56" s="23">
        <f>IFERROR('Data Sheet'!D65-SUM('Data Sheet'!D67:D69),0)</f>
        <v>638.24</v>
      </c>
      <c r="F56" s="23">
        <f>IFERROR('Data Sheet'!E65-SUM('Data Sheet'!E67:E69),0)</f>
        <v>674.38000000000011</v>
      </c>
      <c r="G56" s="23">
        <f>IFERROR('Data Sheet'!F65-SUM('Data Sheet'!F67:F69),0)</f>
        <v>670.6400000000001</v>
      </c>
      <c r="H56" s="23">
        <f>IFERROR('Data Sheet'!G65-SUM('Data Sheet'!G67:G69),0)</f>
        <v>907.0300000000002</v>
      </c>
      <c r="I56" s="23">
        <f>IFERROR('Data Sheet'!H65-SUM('Data Sheet'!H67:H69),0)</f>
        <v>1073.8900000000001</v>
      </c>
      <c r="J56" s="23">
        <f>IFERROR('Data Sheet'!I65-SUM('Data Sheet'!I67:I69),0)</f>
        <v>929.79</v>
      </c>
      <c r="K56" s="23">
        <f>IFERROR('Data Sheet'!J65-SUM('Data Sheet'!J67:J69),0)</f>
        <v>1019.2900000000002</v>
      </c>
      <c r="L56" s="23">
        <f>IFERROR('Data Sheet'!K65-SUM('Data Sheet'!K67:K69),0)</f>
        <v>1305.83</v>
      </c>
    </row>
    <row r="57" spans="2:13" x14ac:dyDescent="0.2">
      <c r="B57" s="29" t="s">
        <v>84</v>
      </c>
      <c r="C57" s="30">
        <f>SUM(C53:C56)</f>
        <v>0</v>
      </c>
      <c r="D57" s="30">
        <f t="shared" ref="D57:L57" si="18">SUM(D53:D56)</f>
        <v>2865.41</v>
      </c>
      <c r="E57" s="30">
        <f t="shared" si="18"/>
        <v>2903.7200000000003</v>
      </c>
      <c r="F57" s="30">
        <f t="shared" si="18"/>
        <v>2954.28</v>
      </c>
      <c r="G57" s="30">
        <f t="shared" si="18"/>
        <v>3731.2</v>
      </c>
      <c r="H57" s="30">
        <f t="shared" si="18"/>
        <v>7470.85</v>
      </c>
      <c r="I57" s="30">
        <f t="shared" si="18"/>
        <v>8243.1</v>
      </c>
      <c r="J57" s="30">
        <f t="shared" si="18"/>
        <v>8221.43</v>
      </c>
      <c r="K57" s="30">
        <f t="shared" si="18"/>
        <v>10358.140000000001</v>
      </c>
      <c r="L57" s="30">
        <f t="shared" si="18"/>
        <v>13711.029999999999</v>
      </c>
    </row>
    <row r="58" spans="2:13" x14ac:dyDescent="0.2">
      <c r="B58" s="29"/>
    </row>
    <row r="59" spans="2:13" x14ac:dyDescent="0.2">
      <c r="B59" s="13" t="s">
        <v>42</v>
      </c>
      <c r="C59" s="23">
        <f>IFERROR('Data Sheet'!B67,0)</f>
        <v>0</v>
      </c>
      <c r="D59" s="23">
        <f>IFERROR('Data Sheet'!C67,0)</f>
        <v>234.82</v>
      </c>
      <c r="E59" s="23">
        <f>IFERROR('Data Sheet'!D67,0)</f>
        <v>279.56</v>
      </c>
      <c r="F59" s="23">
        <f>IFERROR('Data Sheet'!E67,0)</f>
        <v>362.61</v>
      </c>
      <c r="G59" s="23">
        <f>IFERROR('Data Sheet'!F67,0)</f>
        <v>96.09</v>
      </c>
      <c r="H59" s="23">
        <f>IFERROR('Data Sheet'!G67,0)</f>
        <v>365.89</v>
      </c>
      <c r="I59" s="23">
        <f>IFERROR('Data Sheet'!H67,0)</f>
        <v>385.36</v>
      </c>
      <c r="J59" s="23">
        <f>IFERROR('Data Sheet'!I67,0)</f>
        <v>336.12</v>
      </c>
      <c r="K59" s="23">
        <f>IFERROR('Data Sheet'!J67,0)</f>
        <v>462.69</v>
      </c>
      <c r="L59" s="23">
        <f>IFERROR('Data Sheet'!K67,0)</f>
        <v>687.31</v>
      </c>
    </row>
    <row r="60" spans="2:13" x14ac:dyDescent="0.2">
      <c r="B60" s="13" t="s">
        <v>43</v>
      </c>
      <c r="C60" s="23">
        <f>IFERROR('Data Sheet'!B68,0)</f>
        <v>0</v>
      </c>
      <c r="D60" s="23">
        <f>IFERROR('Data Sheet'!C68,0)</f>
        <v>23.12</v>
      </c>
      <c r="E60" s="23">
        <f>IFERROR('Data Sheet'!D68,0)</f>
        <v>28.27</v>
      </c>
      <c r="F60" s="23">
        <f>IFERROR('Data Sheet'!E68,0)</f>
        <v>26.01</v>
      </c>
      <c r="G60" s="23">
        <f>IFERROR('Data Sheet'!F68,0)</f>
        <v>26.8</v>
      </c>
      <c r="H60" s="23">
        <f>IFERROR('Data Sheet'!G68,0)</f>
        <v>53.8</v>
      </c>
      <c r="I60" s="23">
        <f>IFERROR('Data Sheet'!H68,0)</f>
        <v>61.36</v>
      </c>
      <c r="J60" s="23">
        <f>IFERROR('Data Sheet'!I68,0)</f>
        <v>76.23</v>
      </c>
      <c r="K60" s="23">
        <f>IFERROR('Data Sheet'!J68,0)</f>
        <v>79.84</v>
      </c>
      <c r="L60" s="23">
        <f>IFERROR('Data Sheet'!K68,0)</f>
        <v>106.21</v>
      </c>
    </row>
    <row r="61" spans="2:13" x14ac:dyDescent="0.2">
      <c r="B61" s="13" t="s">
        <v>44</v>
      </c>
      <c r="C61" s="23">
        <f>IFERROR('Data Sheet'!B69,0)</f>
        <v>0</v>
      </c>
      <c r="D61" s="23">
        <f>IFERROR('Data Sheet'!C69,0)</f>
        <v>22.75</v>
      </c>
      <c r="E61" s="23">
        <f>IFERROR('Data Sheet'!D69,0)</f>
        <v>89.97</v>
      </c>
      <c r="F61" s="23">
        <f>IFERROR('Data Sheet'!E69,0)</f>
        <v>11.64</v>
      </c>
      <c r="G61" s="23">
        <f>IFERROR('Data Sheet'!F69,0)</f>
        <v>119.57</v>
      </c>
      <c r="H61" s="23">
        <f>IFERROR('Data Sheet'!G69,0)</f>
        <v>652.91999999999996</v>
      </c>
      <c r="I61" s="23">
        <f>IFERROR('Data Sheet'!H69,0)</f>
        <v>499.31</v>
      </c>
      <c r="J61" s="23">
        <f>IFERROR('Data Sheet'!I69,0)</f>
        <v>1468.07</v>
      </c>
      <c r="K61" s="23">
        <f>IFERROR('Data Sheet'!J69,0)</f>
        <v>1099.27</v>
      </c>
      <c r="L61" s="23">
        <f>IFERROR('Data Sheet'!K69,0)</f>
        <v>681.89</v>
      </c>
    </row>
    <row r="62" spans="2:13" x14ac:dyDescent="0.2">
      <c r="B62" s="29" t="s">
        <v>85</v>
      </c>
      <c r="C62" s="30">
        <f>IFERROR(SUM(C59:C61),0)</f>
        <v>0</v>
      </c>
      <c r="D62" s="30">
        <f t="shared" ref="D62:L62" si="19">IFERROR(SUM(D59:D61),0)</f>
        <v>280.69</v>
      </c>
      <c r="E62" s="30">
        <f t="shared" si="19"/>
        <v>397.79999999999995</v>
      </c>
      <c r="F62" s="30">
        <f t="shared" si="19"/>
        <v>400.26</v>
      </c>
      <c r="G62" s="30">
        <f t="shared" si="19"/>
        <v>242.45999999999998</v>
      </c>
      <c r="H62" s="30">
        <f t="shared" si="19"/>
        <v>1072.6099999999999</v>
      </c>
      <c r="I62" s="30">
        <f t="shared" si="19"/>
        <v>946.03</v>
      </c>
      <c r="J62" s="30">
        <f t="shared" si="19"/>
        <v>1880.42</v>
      </c>
      <c r="K62" s="30">
        <f t="shared" si="19"/>
        <v>1641.8</v>
      </c>
      <c r="L62" s="30">
        <f t="shared" si="19"/>
        <v>1475.4099999999999</v>
      </c>
    </row>
    <row r="64" spans="2:13" x14ac:dyDescent="0.2">
      <c r="B64" s="29" t="s">
        <v>86</v>
      </c>
      <c r="C64" s="30">
        <f>IFERROR(C62+C57,0)</f>
        <v>0</v>
      </c>
      <c r="D64" s="30">
        <f t="shared" ref="D64:L64" si="20">IFERROR(D62+D57,0)</f>
        <v>3146.1</v>
      </c>
      <c r="E64" s="30">
        <f t="shared" si="20"/>
        <v>3301.5200000000004</v>
      </c>
      <c r="F64" s="30">
        <f t="shared" si="20"/>
        <v>3354.54</v>
      </c>
      <c r="G64" s="30">
        <f t="shared" si="20"/>
        <v>3973.66</v>
      </c>
      <c r="H64" s="30">
        <f t="shared" si="20"/>
        <v>8543.4600000000009</v>
      </c>
      <c r="I64" s="30">
        <f t="shared" si="20"/>
        <v>9189.130000000001</v>
      </c>
      <c r="J64" s="30">
        <f t="shared" si="20"/>
        <v>10101.85</v>
      </c>
      <c r="K64" s="30">
        <f t="shared" si="20"/>
        <v>11999.94</v>
      </c>
      <c r="L64" s="30">
        <f t="shared" si="20"/>
        <v>15186.439999999999</v>
      </c>
    </row>
    <row r="66" spans="1:13" x14ac:dyDescent="0.2">
      <c r="B66" s="31" t="s">
        <v>87</v>
      </c>
      <c r="C66" s="31" t="b">
        <f>C64=C51</f>
        <v>1</v>
      </c>
      <c r="D66" s="31" t="b">
        <f t="shared" ref="D66:L66" si="21">D64=D51</f>
        <v>1</v>
      </c>
      <c r="E66" s="31" t="b">
        <f t="shared" si="21"/>
        <v>1</v>
      </c>
      <c r="F66" s="31" t="b">
        <f t="shared" si="21"/>
        <v>1</v>
      </c>
      <c r="G66" s="31" t="b">
        <f t="shared" si="21"/>
        <v>1</v>
      </c>
      <c r="H66" s="31" t="b">
        <f t="shared" si="21"/>
        <v>1</v>
      </c>
      <c r="I66" s="31" t="b">
        <f t="shared" si="21"/>
        <v>1</v>
      </c>
      <c r="J66" s="31" t="b">
        <f t="shared" si="21"/>
        <v>1</v>
      </c>
      <c r="K66" s="31" t="b">
        <f t="shared" si="21"/>
        <v>1</v>
      </c>
      <c r="L66" s="31" t="b">
        <f t="shared" si="21"/>
        <v>1</v>
      </c>
    </row>
    <row r="68" spans="1:13" x14ac:dyDescent="0.2">
      <c r="A68" s="13" t="s">
        <v>59</v>
      </c>
      <c r="B68" s="21" t="s">
        <v>88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2">
      <c r="B69" s="29"/>
    </row>
    <row r="70" spans="1:13" x14ac:dyDescent="0.2">
      <c r="B70" s="13" t="s">
        <v>89</v>
      </c>
      <c r="C70" s="23">
        <f>'Data Sheet'!B82</f>
        <v>0</v>
      </c>
      <c r="D70" s="23">
        <f>'Data Sheet'!C82</f>
        <v>156.06</v>
      </c>
      <c r="E70" s="23">
        <f>'Data Sheet'!D82</f>
        <v>165.71</v>
      </c>
      <c r="F70" s="23">
        <f>'Data Sheet'!E82</f>
        <v>88.95</v>
      </c>
      <c r="G70" s="23">
        <f>'Data Sheet'!F82</f>
        <v>77.09</v>
      </c>
      <c r="H70" s="23">
        <f>'Data Sheet'!G82</f>
        <v>117.86</v>
      </c>
      <c r="I70" s="23">
        <f>'Data Sheet'!H82</f>
        <v>748.49</v>
      </c>
      <c r="J70" s="23">
        <f>'Data Sheet'!I82</f>
        <v>1284.1300000000001</v>
      </c>
      <c r="K70" s="23">
        <f>'Data Sheet'!J82</f>
        <v>1121.8</v>
      </c>
      <c r="L70" s="23">
        <f>'Data Sheet'!K82</f>
        <v>1459.31</v>
      </c>
    </row>
    <row r="72" spans="1:13" x14ac:dyDescent="0.2">
      <c r="B72" s="13" t="s">
        <v>90</v>
      </c>
      <c r="C72" s="23">
        <f>'Data Sheet'!B83</f>
        <v>0</v>
      </c>
      <c r="D72" s="23">
        <f>'Data Sheet'!C83</f>
        <v>-103.79</v>
      </c>
      <c r="E72" s="23">
        <f>'Data Sheet'!D83</f>
        <v>-124.11</v>
      </c>
      <c r="F72" s="23">
        <f>'Data Sheet'!E83</f>
        <v>-16.53</v>
      </c>
      <c r="G72" s="23">
        <f>'Data Sheet'!F83</f>
        <v>-2640.7</v>
      </c>
      <c r="H72" s="23">
        <f>'Data Sheet'!G83</f>
        <v>206.39</v>
      </c>
      <c r="I72" s="23">
        <f>'Data Sheet'!H83</f>
        <v>-771.77</v>
      </c>
      <c r="J72" s="23">
        <f>'Data Sheet'!I83</f>
        <v>-102.21</v>
      </c>
      <c r="K72" s="23">
        <f>'Data Sheet'!J83</f>
        <v>-1252.55</v>
      </c>
      <c r="L72" s="23">
        <f>'Data Sheet'!K83</f>
        <v>-1614.11</v>
      </c>
    </row>
    <row r="74" spans="1:13" x14ac:dyDescent="0.2">
      <c r="B74" s="13" t="s">
        <v>91</v>
      </c>
      <c r="C74" s="23">
        <f>'Data Sheet'!B84</f>
        <v>0</v>
      </c>
      <c r="D74" s="23">
        <f>'Data Sheet'!C84</f>
        <v>-48.19</v>
      </c>
      <c r="E74" s="23">
        <f>'Data Sheet'!D84</f>
        <v>-47.72</v>
      </c>
      <c r="F74" s="23">
        <f>'Data Sheet'!E84</f>
        <v>-73.95</v>
      </c>
      <c r="G74" s="23">
        <f>'Data Sheet'!F84</f>
        <v>2353.12</v>
      </c>
      <c r="H74" s="23">
        <f>'Data Sheet'!G84</f>
        <v>191.33</v>
      </c>
      <c r="I74" s="23">
        <f>'Data Sheet'!H84</f>
        <v>-294.17</v>
      </c>
      <c r="J74" s="23">
        <f>'Data Sheet'!I84</f>
        <v>-288.56</v>
      </c>
      <c r="K74" s="23">
        <f>'Data Sheet'!J84</f>
        <v>-263.74</v>
      </c>
      <c r="L74" s="23">
        <f>'Data Sheet'!K84</f>
        <v>-163.80000000000001</v>
      </c>
    </row>
    <row r="76" spans="1:13" x14ac:dyDescent="0.2">
      <c r="B76" s="29" t="s">
        <v>52</v>
      </c>
      <c r="C76" s="30">
        <f t="shared" ref="C76:L76" si="22">IFERROR(C70+C72+C74,0)</f>
        <v>0</v>
      </c>
      <c r="D76" s="30">
        <f t="shared" si="22"/>
        <v>4.0799999999999983</v>
      </c>
      <c r="E76" s="30">
        <f t="shared" si="22"/>
        <v>-6.1199999999999903</v>
      </c>
      <c r="F76" s="30">
        <f t="shared" si="22"/>
        <v>-1.5300000000000011</v>
      </c>
      <c r="G76" s="30">
        <f t="shared" si="22"/>
        <v>-210.48999999999978</v>
      </c>
      <c r="H76" s="30">
        <f t="shared" si="22"/>
        <v>515.58000000000004</v>
      </c>
      <c r="I76" s="30">
        <f t="shared" si="22"/>
        <v>-317.45</v>
      </c>
      <c r="J76" s="30">
        <f t="shared" si="22"/>
        <v>893.36000000000013</v>
      </c>
      <c r="K76" s="30">
        <f t="shared" si="22"/>
        <v>-394.49</v>
      </c>
      <c r="L76" s="30">
        <f t="shared" si="22"/>
        <v>-318.59999999999997</v>
      </c>
    </row>
  </sheetData>
  <mergeCells count="1">
    <mergeCell ref="B2:M2"/>
  </mergeCells>
  <printOptions horizontalCentered="1" verticalCentered="1"/>
  <pageMargins left="0" right="0" top="0.74803149606299213" bottom="0.74803149606299213" header="0.31496062992125984" footer="0.31496062992125984"/>
  <pageSetup orientation="landscape" r:id="rId1"/>
  <ignoredErrors>
    <ignoredError sqref="M6 M9 C15:L15 M21 M24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0"/>
  <sheetViews>
    <sheetView showGridLines="0" workbookViewId="0">
      <selection activeCell="D7" sqref="A1:XFD1048576"/>
    </sheetView>
  </sheetViews>
  <sheetFormatPr defaultRowHeight="12.75" x14ac:dyDescent="0.2"/>
  <cols>
    <col min="1" max="1" width="1.85546875" style="13" customWidth="1"/>
    <col min="2" max="2" width="29.28515625" style="13" bestFit="1" customWidth="1"/>
    <col min="3" max="3" width="10" style="13" bestFit="1" customWidth="1"/>
    <col min="4" max="4" width="10.7109375" style="13" customWidth="1"/>
    <col min="5" max="5" width="12.85546875" style="13" customWidth="1"/>
    <col min="6" max="7" width="13.140625" style="13" customWidth="1"/>
    <col min="8" max="8" width="11.42578125" style="13" customWidth="1"/>
    <col min="9" max="9" width="10.7109375" style="13" customWidth="1"/>
    <col min="10" max="10" width="10.85546875" style="13" customWidth="1"/>
    <col min="11" max="12" width="8" style="13" bestFit="1" customWidth="1"/>
    <col min="13" max="13" width="18.140625" style="13" customWidth="1"/>
    <col min="14" max="14" width="11.7109375" style="13" customWidth="1"/>
    <col min="15" max="15" width="11.5703125" style="13" customWidth="1"/>
    <col min="16" max="16384" width="9.140625" style="13"/>
  </cols>
  <sheetData>
    <row r="1" spans="2:15" ht="13.5" thickBot="1" x14ac:dyDescent="0.25"/>
    <row r="2" spans="2:15" ht="13.5" thickTop="1" x14ac:dyDescent="0.2">
      <c r="B2" s="32" t="str">
        <f>"Ratio Analysis of - "&amp;'Data Sheet'!B1</f>
        <v>Ratio Analysis of - MAX HEALTHCARE INSTITUTE LTD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2:15" ht="13.5" thickBot="1" x14ac:dyDescent="0.25">
      <c r="B3" s="35" t="s">
        <v>56</v>
      </c>
      <c r="C3" s="36">
        <f>'Data Sheet'!B16</f>
        <v>41729</v>
      </c>
      <c r="D3" s="36">
        <f>'Data Sheet'!C16</f>
        <v>42825</v>
      </c>
      <c r="E3" s="36">
        <f>'Data Sheet'!D16</f>
        <v>43190</v>
      </c>
      <c r="F3" s="36">
        <f>'Data Sheet'!E16</f>
        <v>43555</v>
      </c>
      <c r="G3" s="36">
        <f>'Data Sheet'!F16</f>
        <v>43921</v>
      </c>
      <c r="H3" s="36">
        <f>'Data Sheet'!G16</f>
        <v>44286</v>
      </c>
      <c r="I3" s="36">
        <f>'Data Sheet'!H16</f>
        <v>44651</v>
      </c>
      <c r="J3" s="36">
        <f>'Data Sheet'!I16</f>
        <v>45016</v>
      </c>
      <c r="K3" s="36">
        <f>'Data Sheet'!J16</f>
        <v>45382</v>
      </c>
      <c r="L3" s="36">
        <f>'Data Sheet'!K16</f>
        <v>45747</v>
      </c>
      <c r="M3" s="37" t="s">
        <v>122</v>
      </c>
      <c r="N3" s="38" t="s">
        <v>123</v>
      </c>
      <c r="O3" s="39" t="s">
        <v>124</v>
      </c>
    </row>
    <row r="4" spans="2:15" ht="14.25" thickTop="1" thickBot="1" x14ac:dyDescent="0.25"/>
    <row r="5" spans="2:15" x14ac:dyDescent="0.2">
      <c r="B5" s="40" t="s">
        <v>96</v>
      </c>
      <c r="C5" s="40"/>
      <c r="D5" s="41">
        <f>IFERROR(HistoricalFS!D7,0)</f>
        <v>0</v>
      </c>
      <c r="E5" s="41">
        <f>IFERROR(HistoricalFS!E7,0)</f>
        <v>7.5155758397274175E-2</v>
      </c>
      <c r="F5" s="41">
        <f>IFERROR(HistoricalFS!F7,0)</f>
        <v>-2.2039985426197006E-2</v>
      </c>
      <c r="G5" s="41">
        <f>IFERROR(HistoricalFS!G7,0)</f>
        <v>-0.37373301321096142</v>
      </c>
      <c r="H5" s="41">
        <f>IFERROR(HistoricalFS!H7,0)</f>
        <v>1.3650604798730916</v>
      </c>
      <c r="I5" s="41">
        <f>IFERROR(HistoricalFS!I7,0)</f>
        <v>0.56965189026897756</v>
      </c>
      <c r="J5" s="41">
        <f>IFERROR(HistoricalFS!J7,0)</f>
        <v>0.16053578060059115</v>
      </c>
      <c r="K5" s="41">
        <f>IFERROR(HistoricalFS!K7,0)</f>
        <v>0.18485512646298163</v>
      </c>
      <c r="L5" s="41">
        <f>IFERROR(HistoricalFS!L7,0)</f>
        <v>0.30011727666564303</v>
      </c>
      <c r="M5" s="42"/>
      <c r="N5" s="41">
        <f>IFERROR(AVERAGE(D5:L5),0)</f>
        <v>0.25106703484793341</v>
      </c>
      <c r="O5" s="41">
        <f>IFERROR(MEDIAN(C5:L5),0)</f>
        <v>0.16053578060059115</v>
      </c>
    </row>
    <row r="6" spans="2:15" x14ac:dyDescent="0.2">
      <c r="B6" s="13" t="s">
        <v>102</v>
      </c>
      <c r="D6" s="43">
        <f>IFERROR(HistoricalFS!D18/HistoricalFS!C18-1,0)</f>
        <v>0</v>
      </c>
      <c r="E6" s="43">
        <f>IFERROR(HistoricalFS!E18/HistoricalFS!D18-1,0)</f>
        <v>-0.19528810672722019</v>
      </c>
      <c r="F6" s="43">
        <f>IFERROR(HistoricalFS!F18/HistoricalFS!E18-1,0)</f>
        <v>0.37619047619047552</v>
      </c>
      <c r="G6" s="43">
        <f>IFERROR(HistoricalFS!G18/HistoricalFS!F18-1,0)</f>
        <v>-0.39991029091375097</v>
      </c>
      <c r="H6" s="43">
        <f>IFERROR(HistoricalFS!H18/HistoricalFS!G18-1,0)</f>
        <v>3.3150026695141479</v>
      </c>
      <c r="I6" s="43">
        <f>IFERROR(HistoricalFS!I18/HistoricalFS!H18-1,0)</f>
        <v>1.3400643405097732</v>
      </c>
      <c r="J6" s="43">
        <f>IFERROR(HistoricalFS!J18/HistoricalFS!I18-1,0)</f>
        <v>0.31186946130581084</v>
      </c>
      <c r="K6" s="43">
        <f>IFERROR(HistoricalFS!K18/HistoricalFS!J18-1,0)</f>
        <v>0.20280847702191807</v>
      </c>
      <c r="L6" s="43">
        <f>IFERROR(HistoricalFS!L18/HistoricalFS!K18-1,0)</f>
        <v>0.23904243626517885</v>
      </c>
      <c r="M6" s="44"/>
      <c r="N6" s="43">
        <f t="shared" ref="N6:N9" si="0">IFERROR(AVERAGE(D6:L6),0)</f>
        <v>0.576642162574037</v>
      </c>
      <c r="O6" s="43">
        <f t="shared" ref="O6:O9" si="1">IFERROR(MEDIAN(C6:L6),0)</f>
        <v>0.23904243626517885</v>
      </c>
    </row>
    <row r="7" spans="2:15" x14ac:dyDescent="0.2">
      <c r="B7" s="13" t="s">
        <v>97</v>
      </c>
      <c r="D7" s="43">
        <f>IFERROR(HistoricalFS!D27/HistoricalFS!C27-1,0)</f>
        <v>0</v>
      </c>
      <c r="E7" s="43">
        <f>IFERROR(HistoricalFS!E27/HistoricalFS!D27-1,0)</f>
        <v>0.48129721761562316</v>
      </c>
      <c r="F7" s="43">
        <f>IFERROR(HistoricalFS!F27/HistoricalFS!E27-1,0)</f>
        <v>-0.40477671352158251</v>
      </c>
      <c r="G7" s="43">
        <f>IFERROR(HistoricalFS!G27/HistoricalFS!F27-1,0)</f>
        <v>-0.26374085684430559</v>
      </c>
      <c r="H7" s="43">
        <f>IFERROR(HistoricalFS!H27/HistoricalFS!G27-1,0)</f>
        <v>-2.43485665625888</v>
      </c>
      <c r="I7" s="43">
        <f>IFERROR(HistoricalFS!I27/HistoricalFS!H27-1,0)</f>
        <v>11.336894164193806</v>
      </c>
      <c r="J7" s="43">
        <f>IFERROR(HistoricalFS!J27/HistoricalFS!I27-1,0)</f>
        <v>0.48241745907028344</v>
      </c>
      <c r="K7" s="43">
        <f>IFERROR(HistoricalFS!K27/HistoricalFS!J27-1,0)</f>
        <v>0.28423546209761175</v>
      </c>
      <c r="L7" s="43">
        <f>IFERROR(HistoricalFS!L27/HistoricalFS!K27-1,0)</f>
        <v>0.11548536534007048</v>
      </c>
      <c r="M7" s="44"/>
      <c r="N7" s="43">
        <f t="shared" si="0"/>
        <v>1.066328382410292</v>
      </c>
      <c r="O7" s="43">
        <f t="shared" si="1"/>
        <v>0.11548536534007048</v>
      </c>
    </row>
    <row r="8" spans="2:15" x14ac:dyDescent="0.2">
      <c r="B8" s="13" t="s">
        <v>101</v>
      </c>
      <c r="D8" s="43">
        <f>IFERROR(HistoricalFS!D33/HistoricalFS!C33-1,0)</f>
        <v>0</v>
      </c>
      <c r="E8" s="43">
        <f>IFERROR(HistoricalFS!E33/HistoricalFS!D33-1,0)</f>
        <v>1.0921723019916594</v>
      </c>
      <c r="F8" s="43">
        <f>IFERROR(HistoricalFS!F33/HistoricalFS!E33-1,0)</f>
        <v>-0.37613460261235354</v>
      </c>
      <c r="G8" s="43">
        <f>IFERROR(HistoricalFS!G33/HistoricalFS!F33-1,0)</f>
        <v>-0.37721788502484088</v>
      </c>
      <c r="H8" s="43">
        <f>IFERROR(HistoricalFS!H33/HistoricalFS!G33-1,0)</f>
        <v>-1.1339031339031409</v>
      </c>
      <c r="I8" s="43">
        <f>IFERROR(HistoricalFS!I33/HistoricalFS!H33-1,0)</f>
        <v>103.20851063829258</v>
      </c>
      <c r="J8" s="43">
        <f>IFERROR(HistoricalFS!J33/HistoricalFS!I33-1,0)</f>
        <v>0.96878190207848625</v>
      </c>
      <c r="K8" s="43">
        <f>IFERROR(HistoricalFS!K33/HistoricalFS!J33-1,0)</f>
        <v>-8.7838468478745324E-2</v>
      </c>
      <c r="L8" s="43">
        <f>IFERROR(HistoricalFS!L33/HistoricalFS!K33-1,0)</f>
        <v>0.12994986186431867</v>
      </c>
      <c r="M8" s="44"/>
      <c r="N8" s="43">
        <f t="shared" si="0"/>
        <v>11.49159117935644</v>
      </c>
      <c r="O8" s="43">
        <f t="shared" si="1"/>
        <v>0</v>
      </c>
    </row>
    <row r="9" spans="2:15" ht="13.5" thickBot="1" x14ac:dyDescent="0.25">
      <c r="B9" s="45" t="s">
        <v>100</v>
      </c>
      <c r="C9" s="45"/>
      <c r="D9" s="46">
        <f>IFERROR(HistoricalFS!D41/HistoricalFS!C41-1,0)</f>
        <v>0</v>
      </c>
      <c r="E9" s="46">
        <f>IFERROR(HistoricalFS!E41/HistoricalFS!D41-1,0)</f>
        <v>0</v>
      </c>
      <c r="F9" s="46">
        <f>IFERROR(HistoricalFS!F41/HistoricalFS!E41-1,0)</f>
        <v>0</v>
      </c>
      <c r="G9" s="46">
        <f>IFERROR(HistoricalFS!G41/HistoricalFS!F41-1,0)</f>
        <v>0</v>
      </c>
      <c r="H9" s="46">
        <f>IFERROR(HistoricalFS!H41/HistoricalFS!G41-1,0)</f>
        <v>0</v>
      </c>
      <c r="I9" s="46">
        <f>IFERROR(HistoricalFS!I41/HistoricalFS!H41-1,0)</f>
        <v>0</v>
      </c>
      <c r="J9" s="46">
        <f>IFERROR(HistoricalFS!J41/HistoricalFS!I41-1,0)</f>
        <v>0</v>
      </c>
      <c r="K9" s="46">
        <f>IFERROR(HistoricalFS!K41/HistoricalFS!J41-1,0)</f>
        <v>0.50005144562197756</v>
      </c>
      <c r="L9" s="46">
        <f>IFERROR(HistoricalFS!L41/HistoricalFS!K41-1,0)</f>
        <v>-7.0560446374656749E-9</v>
      </c>
      <c r="M9" s="47"/>
      <c r="N9" s="46">
        <f t="shared" si="0"/>
        <v>5.5561270951770325E-2</v>
      </c>
      <c r="O9" s="46">
        <f t="shared" si="1"/>
        <v>0</v>
      </c>
    </row>
    <row r="10" spans="2:15" ht="13.5" thickBot="1" x14ac:dyDescent="0.25"/>
    <row r="11" spans="2:15" x14ac:dyDescent="0.2">
      <c r="B11" s="40" t="s">
        <v>92</v>
      </c>
      <c r="C11" s="41">
        <f>IFERROR(HistoricalFS!C13,0)</f>
        <v>0</v>
      </c>
      <c r="D11" s="41">
        <f>IFERROR(HistoricalFS!D13,0)</f>
        <v>0.4695322895551714</v>
      </c>
      <c r="E11" s="41">
        <f>IFERROR(HistoricalFS!E13,0)</f>
        <v>0.45020328141897953</v>
      </c>
      <c r="F11" s="41">
        <f>IFERROR(HistoricalFS!F13,0)</f>
        <v>0.47395654693616873</v>
      </c>
      <c r="G11" s="41">
        <f>IFERROR(HistoricalFS!G13,0)</f>
        <v>0.26562986884224249</v>
      </c>
      <c r="H11" s="41">
        <f>IFERROR(HistoricalFS!H13,0)</f>
        <v>0.26010212922261228</v>
      </c>
      <c r="I11" s="41">
        <f>IFERROR(HistoricalFS!I13,0)</f>
        <v>0.31939279555177968</v>
      </c>
      <c r="J11" s="41">
        <f>IFERROR(HistoricalFS!J13,0)</f>
        <v>0.35900802174198931</v>
      </c>
      <c r="K11" s="41">
        <f>IFERROR(HistoricalFS!K13,0)</f>
        <v>0.36957502931916653</v>
      </c>
      <c r="L11" s="41">
        <f>IFERROR(HistoricalFS!L13,0)</f>
        <v>0.36357466642763847</v>
      </c>
      <c r="M11" s="42"/>
      <c r="N11" s="41">
        <f>IFERROR(AVERAGE(C11:L11),0)</f>
        <v>0.33309746290157483</v>
      </c>
      <c r="O11" s="41">
        <f t="shared" ref="O11:O15" si="2">IFERROR(MEDIAN(C11:L11),0)</f>
        <v>0.36129134408481389</v>
      </c>
    </row>
    <row r="12" spans="2:15" x14ac:dyDescent="0.2">
      <c r="B12" s="13" t="s">
        <v>93</v>
      </c>
      <c r="C12" s="43">
        <f>IFERROR(HistoricalFS!C19,0)</f>
        <v>0</v>
      </c>
      <c r="D12" s="43">
        <f>IFERROR(HistoricalFS!D19,0)</f>
        <v>8.7622648079290641E-2</v>
      </c>
      <c r="E12" s="43">
        <f>IFERROR(HistoricalFS!E19,0)</f>
        <v>6.5582113548431922E-2</v>
      </c>
      <c r="F12" s="43">
        <f>IFERROR(HistoricalFS!F19,0)</f>
        <v>9.2287495121287783E-2</v>
      </c>
      <c r="G12" s="43">
        <f>IFERROR(HistoricalFS!G19,0)</f>
        <v>8.8429978376438872E-2</v>
      </c>
      <c r="H12" s="43">
        <f>IFERROR(HistoricalFS!H19,0)</f>
        <v>0.16133861945885097</v>
      </c>
      <c r="I12" s="43">
        <f>IFERROR(HistoricalFS!I19,0)</f>
        <v>0.24052642021030352</v>
      </c>
      <c r="J12" s="43">
        <f>IFERROR(HistoricalFS!J19,0)</f>
        <v>0.27189102704598267</v>
      </c>
      <c r="K12" s="43">
        <f>IFERROR(HistoricalFS!K19,0)</f>
        <v>0.27601081757004242</v>
      </c>
      <c r="L12" s="43">
        <f>IFERROR(HistoricalFS!L19,0)</f>
        <v>0.26304482062927009</v>
      </c>
      <c r="M12" s="44"/>
      <c r="N12" s="43">
        <f t="shared" ref="N12:N40" si="3">IFERROR(AVERAGE(C12:L12),0)</f>
        <v>0.15467339400398988</v>
      </c>
      <c r="O12" s="43">
        <f t="shared" si="2"/>
        <v>0.12681305729006936</v>
      </c>
    </row>
    <row r="13" spans="2:15" x14ac:dyDescent="0.2">
      <c r="B13" s="13" t="s">
        <v>103</v>
      </c>
      <c r="C13" s="43">
        <f>IFERROR((HistoricalFS!C18-HistoricalFS!C24)/HistoricalFS!C6,0)</f>
        <v>0</v>
      </c>
      <c r="D13" s="43">
        <f>IFERROR((HistoricalFS!D18-HistoricalFS!D24)/HistoricalFS!D6,0)</f>
        <v>2.8235484312238043E-2</v>
      </c>
      <c r="E13" s="43">
        <f>IFERROR((HistoricalFS!E18-HistoricalFS!E24)/HistoricalFS!E6,0)</f>
        <v>1.0976618299376038E-2</v>
      </c>
      <c r="F13" s="43">
        <f>IFERROR((HistoricalFS!F18-HistoricalFS!F24)/HistoricalFS!F6,0)</f>
        <v>3.1590401059715473E-2</v>
      </c>
      <c r="G13" s="43">
        <f>IFERROR((HistoricalFS!G18-HistoricalFS!G24)/HistoricalFS!G6,0)</f>
        <v>4.5333937659934154E-2</v>
      </c>
      <c r="H13" s="43">
        <f>IFERROR((HistoricalFS!H18-HistoricalFS!H24)/HistoricalFS!H6,0)</f>
        <v>9.1832456970379422E-2</v>
      </c>
      <c r="I13" s="43">
        <f>IFERROR((HistoricalFS!I18-HistoricalFS!I24)/HistoricalFS!I6,0)</f>
        <v>0.1842826837866848</v>
      </c>
      <c r="J13" s="43">
        <f>IFERROR((HistoricalFS!J18-HistoricalFS!J24)/HistoricalFS!J6,0)</f>
        <v>0.22100118353570344</v>
      </c>
      <c r="K13" s="43">
        <f>IFERROR((HistoricalFS!K18-HistoricalFS!K24)/HistoricalFS!K6,0)</f>
        <v>0.23069467001601932</v>
      </c>
      <c r="L13" s="43">
        <f>IFERROR((HistoricalFS!L18-HistoricalFS!L24)/HistoricalFS!L6,0)</f>
        <v>0.21190701803809081</v>
      </c>
      <c r="M13" s="44"/>
      <c r="N13" s="43">
        <f t="shared" si="3"/>
        <v>0.10558544536781414</v>
      </c>
      <c r="O13" s="43">
        <f t="shared" si="2"/>
        <v>6.8583197315156788E-2</v>
      </c>
    </row>
    <row r="14" spans="2:15" x14ac:dyDescent="0.2">
      <c r="B14" s="13" t="s">
        <v>104</v>
      </c>
      <c r="C14" s="43">
        <f>IFERROR(HistoricalFS!C28,0)</f>
        <v>0</v>
      </c>
      <c r="D14" s="43">
        <f>IFERROR(HistoricalFS!D28,0)</f>
        <v>-3.3744543792670362E-2</v>
      </c>
      <c r="E14" s="43">
        <f>IFERROR(HistoricalFS!E28,0)</f>
        <v>-4.6491588255365368E-2</v>
      </c>
      <c r="F14" s="43">
        <f>IFERROR(HistoricalFS!F28,0)</f>
        <v>-2.8296531087745821E-2</v>
      </c>
      <c r="G14" s="43">
        <f>IFERROR(HistoricalFS!G28,0)</f>
        <v>-3.326629085106176E-2</v>
      </c>
      <c r="H14" s="43">
        <f>IFERROR(HistoricalFS!H28,0)</f>
        <v>2.018229946460022E-2</v>
      </c>
      <c r="I14" s="43">
        <f>IFERROR(HistoricalFS!I28,0)</f>
        <v>0.15862554877831642</v>
      </c>
      <c r="J14" s="43">
        <f>IFERROR(HistoricalFS!J28,0)</f>
        <v>0.20262131240959116</v>
      </c>
      <c r="K14" s="43">
        <f>IFERROR(HistoricalFS!K28,0)</f>
        <v>0.21961627962900634</v>
      </c>
      <c r="L14" s="43">
        <f>IFERROR(HistoricalFS!L28,0)</f>
        <v>0.18842819052822377</v>
      </c>
      <c r="M14" s="44"/>
      <c r="N14" s="43">
        <f t="shared" si="3"/>
        <v>6.4767467682289456E-2</v>
      </c>
      <c r="O14" s="43">
        <f t="shared" si="2"/>
        <v>1.009114973230011E-2</v>
      </c>
    </row>
    <row r="15" spans="2:15" ht="13.5" thickBot="1" x14ac:dyDescent="0.25">
      <c r="B15" s="45" t="s">
        <v>105</v>
      </c>
      <c r="C15" s="46">
        <f>IFERROR(HistoricalFS!C34,0)</f>
        <v>0</v>
      </c>
      <c r="D15" s="46">
        <f>IFERROR(HistoricalFS!D34,0)</f>
        <v>-2.6848892591993852E-2</v>
      </c>
      <c r="E15" s="46">
        <f>IFERROR(HistoricalFS!E34,0)</f>
        <v>-5.2245927142551413E-2</v>
      </c>
      <c r="F15" s="46">
        <f>IFERROR(HistoricalFS!F34,0)</f>
        <v>-3.3328996700216398E-2</v>
      </c>
      <c r="G15" s="46">
        <f>IFERROR(HistoricalFS!G34,0)</f>
        <v>-3.3143537010282928E-2</v>
      </c>
      <c r="H15" s="46">
        <f>IFERROR(HistoricalFS!H34,0)</f>
        <v>1.8764947078857644E-3</v>
      </c>
      <c r="I15" s="46">
        <f>IFERROR(HistoricalFS!I34,0)</f>
        <v>0.12457967269157001</v>
      </c>
      <c r="J15" s="46">
        <f>IFERROR(HistoricalFS!J34,0)</f>
        <v>0.21134221715688437</v>
      </c>
      <c r="K15" s="46">
        <f>IFERROR(HistoricalFS!K34,0)</f>
        <v>0.16270195078819552</v>
      </c>
      <c r="L15" s="46">
        <f>IFERROR(HistoricalFS!L34,0)</f>
        <v>0.1414065101032089</v>
      </c>
      <c r="M15" s="47"/>
      <c r="N15" s="46">
        <f t="shared" si="3"/>
        <v>4.9633949200269999E-2</v>
      </c>
      <c r="O15" s="46">
        <f t="shared" si="2"/>
        <v>9.3824735394288218E-4</v>
      </c>
    </row>
    <row r="16" spans="2:15" ht="13.5" thickBot="1" x14ac:dyDescent="0.25"/>
    <row r="17" spans="2:15" x14ac:dyDescent="0.2">
      <c r="B17" s="40" t="s">
        <v>95</v>
      </c>
      <c r="C17" s="41">
        <f>IFERROR(HistoricalFS!C16,0)</f>
        <v>0</v>
      </c>
      <c r="D17" s="41">
        <f>IFERROR(HistoricalFS!D16,0)</f>
        <v>0.3819096414758808</v>
      </c>
      <c r="E17" s="41">
        <f>IFERROR(HistoricalFS!E16,0)</f>
        <v>0.38462116787054762</v>
      </c>
      <c r="F17" s="41">
        <f>IFERROR(HistoricalFS!F16,0)</f>
        <v>0.38166905181488092</v>
      </c>
      <c r="G17" s="41">
        <f>IFERROR(HistoricalFS!G16,0)</f>
        <v>0.17719989046580362</v>
      </c>
      <c r="H17" s="41">
        <f>IFERROR(HistoricalFS!H16,0)</f>
        <v>9.876350976376129E-2</v>
      </c>
      <c r="I17" s="41">
        <f>IFERROR(HistoricalFS!I16,0)</f>
        <v>7.8866375341476197E-2</v>
      </c>
      <c r="J17" s="41">
        <f>IFERROR(HistoricalFS!J16,0)</f>
        <v>8.7116994696006658E-2</v>
      </c>
      <c r="K17" s="41">
        <f>IFERROR(HistoricalFS!K16,0)</f>
        <v>9.3564211749124104E-2</v>
      </c>
      <c r="L17" s="41">
        <f>IFERROR(HistoricalFS!L16,0)</f>
        <v>0.10052984579836835</v>
      </c>
      <c r="M17" s="42"/>
      <c r="N17" s="41">
        <f t="shared" si="3"/>
        <v>0.17842406889758494</v>
      </c>
      <c r="O17" s="41">
        <f t="shared" ref="O17:O19" si="4">IFERROR(MEDIAN(C17:L17),0)</f>
        <v>9.9646677781064813E-2</v>
      </c>
    </row>
    <row r="18" spans="2:15" x14ac:dyDescent="0.2">
      <c r="B18" s="13" t="s">
        <v>69</v>
      </c>
      <c r="C18" s="43">
        <f>IFERROR(HistoricalFS!C25,0)</f>
        <v>0</v>
      </c>
      <c r="D18" s="43">
        <f>IFERROR(HistoricalFS!D25,0)</f>
        <v>5.9387163767052595E-2</v>
      </c>
      <c r="E18" s="43">
        <f>IFERROR(HistoricalFS!E25,0)</f>
        <v>5.4605495249055884E-2</v>
      </c>
      <c r="F18" s="43">
        <f>IFERROR(HistoricalFS!F25,0)</f>
        <v>6.069709406157231E-2</v>
      </c>
      <c r="G18" s="43">
        <f>IFERROR(HistoricalFS!G25,0)</f>
        <v>4.3096040716504726E-2</v>
      </c>
      <c r="H18" s="43">
        <f>IFERROR(HistoricalFS!H25,0)</f>
        <v>6.9506162488471537E-2</v>
      </c>
      <c r="I18" s="43">
        <f>IFERROR(HistoricalFS!I25,0)</f>
        <v>5.6243736423618705E-2</v>
      </c>
      <c r="J18" s="43">
        <f>IFERROR(HistoricalFS!J25,0)</f>
        <v>5.0889843510279219E-2</v>
      </c>
      <c r="K18" s="43">
        <f>IFERROR(HistoricalFS!K25,0)</f>
        <v>4.5316147554023099E-2</v>
      </c>
      <c r="L18" s="43">
        <f>IFERROR(HistoricalFS!L25,0)</f>
        <v>5.1137802591179296E-2</v>
      </c>
      <c r="M18" s="44"/>
      <c r="N18" s="43">
        <f t="shared" si="3"/>
        <v>4.9087948636175729E-2</v>
      </c>
      <c r="O18" s="43">
        <f t="shared" si="4"/>
        <v>5.2871648920117587E-2</v>
      </c>
    </row>
    <row r="19" spans="2:15" ht="13.5" thickBot="1" x14ac:dyDescent="0.25">
      <c r="B19" s="45" t="s">
        <v>94</v>
      </c>
      <c r="C19" s="48">
        <f>C13</f>
        <v>0</v>
      </c>
      <c r="D19" s="48">
        <f t="shared" ref="D19:L19" si="5">D13</f>
        <v>2.8235484312238043E-2</v>
      </c>
      <c r="E19" s="48">
        <f t="shared" si="5"/>
        <v>1.0976618299376038E-2</v>
      </c>
      <c r="F19" s="48">
        <f t="shared" si="5"/>
        <v>3.1590401059715473E-2</v>
      </c>
      <c r="G19" s="48">
        <f t="shared" si="5"/>
        <v>4.5333937659934154E-2</v>
      </c>
      <c r="H19" s="48">
        <f t="shared" si="5"/>
        <v>9.1832456970379422E-2</v>
      </c>
      <c r="I19" s="48">
        <f t="shared" si="5"/>
        <v>0.1842826837866848</v>
      </c>
      <c r="J19" s="48">
        <f t="shared" si="5"/>
        <v>0.22100118353570344</v>
      </c>
      <c r="K19" s="48">
        <f t="shared" si="5"/>
        <v>0.23069467001601932</v>
      </c>
      <c r="L19" s="48">
        <f t="shared" si="5"/>
        <v>0.21190701803809081</v>
      </c>
      <c r="M19" s="47"/>
      <c r="N19" s="46">
        <f t="shared" si="3"/>
        <v>0.10558544536781414</v>
      </c>
      <c r="O19" s="46">
        <f t="shared" si="4"/>
        <v>6.8583197315156788E-2</v>
      </c>
    </row>
    <row r="20" spans="2:15" ht="13.5" thickBot="1" x14ac:dyDescent="0.25"/>
    <row r="21" spans="2:15" x14ac:dyDescent="0.2">
      <c r="B21" s="40" t="s">
        <v>116</v>
      </c>
      <c r="C21" s="41">
        <f>IFERROR((HistoricalFS!C18-HistoricalFS!C24)/(SUM(HistoricalFS!C47:C49)),0)</f>
        <v>0</v>
      </c>
      <c r="D21" s="41">
        <f>IFERROR((HistoricalFS!D18-HistoricalFS!D24)/(SUM(HistoricalFS!D47:D49)),0)</f>
        <v>2.1974671783282579E-2</v>
      </c>
      <c r="E21" s="41">
        <f>IFERROR((HistoricalFS!E18-HistoricalFS!E24)/(SUM(HistoricalFS!E47:E49)),0)</f>
        <v>8.8508368191081502E-3</v>
      </c>
      <c r="F21" s="41">
        <f>IFERROR((HistoricalFS!F18-HistoricalFS!F24)/(SUM(HistoricalFS!F47:F49)),0)</f>
        <v>2.7172751965980679E-2</v>
      </c>
      <c r="G21" s="41">
        <f>IFERROR((HistoricalFS!G18-HistoricalFS!G24)/(SUM(HistoricalFS!G47:G49)),0)</f>
        <v>1.4005700299601229E-2</v>
      </c>
      <c r="H21" s="41">
        <f>IFERROR((HistoricalFS!H18-HistoricalFS!H24)/(SUM(HistoricalFS!H47:H49)),0)</f>
        <v>3.4125657075795762E-2</v>
      </c>
      <c r="I21" s="41">
        <f>IFERROR((HistoricalFS!I18-HistoricalFS!I24)/(SUM(HistoricalFS!I47:I49)),0)</f>
        <v>0.10068303258127947</v>
      </c>
      <c r="J21" s="41">
        <f>IFERROR((HistoricalFS!J18-HistoricalFS!J24)/(SUM(HistoricalFS!J47:J49)),0)</f>
        <v>0.12450870834902551</v>
      </c>
      <c r="K21" s="41">
        <f>IFERROR((HistoricalFS!K18-HistoricalFS!K24)/(SUM(HistoricalFS!K47:K49)),0)</f>
        <v>0.12847722643964368</v>
      </c>
      <c r="L21" s="41">
        <f>IFERROR((HistoricalFS!L18-HistoricalFS!L24)/(SUM(HistoricalFS!L47:L49)),0)</f>
        <v>0.12019697913673939</v>
      </c>
      <c r="M21" s="42"/>
      <c r="N21" s="41">
        <f t="shared" si="3"/>
        <v>5.7999556445045654E-2</v>
      </c>
      <c r="O21" s="41">
        <f t="shared" ref="O21:O25" si="6">IFERROR(MEDIAN(C21:L21),0)</f>
        <v>3.0649204520888221E-2</v>
      </c>
    </row>
    <row r="22" spans="2:15" x14ac:dyDescent="0.2">
      <c r="B22" s="13" t="s">
        <v>99</v>
      </c>
      <c r="C22" s="43">
        <f>IFERROR(HistoricalFS!C44,0)</f>
        <v>0</v>
      </c>
      <c r="D22" s="43">
        <f>IFERROR(HistoricalFS!D44,0)</f>
        <v>0</v>
      </c>
      <c r="E22" s="43">
        <f>IFERROR(HistoricalFS!E44,0)</f>
        <v>0</v>
      </c>
      <c r="F22" s="43">
        <f>IFERROR(HistoricalFS!F44,0)</f>
        <v>0</v>
      </c>
      <c r="G22" s="43">
        <f>IFERROR(HistoricalFS!G44,0)</f>
        <v>0</v>
      </c>
      <c r="H22" s="43">
        <f>IFERROR(HistoricalFS!H44,0)</f>
        <v>1</v>
      </c>
      <c r="I22" s="43">
        <f>IFERROR(HistoricalFS!I44,0)</f>
        <v>1</v>
      </c>
      <c r="J22" s="43">
        <f>IFERROR(HistoricalFS!J44,0)</f>
        <v>0.89931243323965282</v>
      </c>
      <c r="K22" s="43">
        <f>IFERROR(HistoricalFS!K44,0)</f>
        <v>0.83424855327034819</v>
      </c>
      <c r="L22" s="43">
        <f>IFERROR(HistoricalFS!L44,0)</f>
        <v>0.8532806101401591</v>
      </c>
      <c r="M22" s="44"/>
      <c r="N22" s="43">
        <f t="shared" si="3"/>
        <v>0.45868415966501602</v>
      </c>
      <c r="O22" s="43">
        <f t="shared" si="6"/>
        <v>0.4171242766351741</v>
      </c>
    </row>
    <row r="23" spans="2:15" x14ac:dyDescent="0.2">
      <c r="B23" s="13" t="s">
        <v>115</v>
      </c>
      <c r="C23" s="43">
        <f>IFERROR(HistoricalFS!C33/SUM(HistoricalFS!C47:C48),0)</f>
        <v>0</v>
      </c>
      <c r="D23" s="43">
        <f>IFERROR(HistoricalFS!D33/SUM(HistoricalFS!D47:D48),0)</f>
        <v>-3.6213287710293723E-2</v>
      </c>
      <c r="E23" s="43">
        <f>IFERROR(HistoricalFS!E33/SUM(HistoricalFS!E47:E48),0)</f>
        <v>-7.7617685216210833E-2</v>
      </c>
      <c r="F23" s="43">
        <f>IFERROR(HistoricalFS!F33/SUM(HistoricalFS!F47:F48),0)</f>
        <v>-5.8513896531317736E-2</v>
      </c>
      <c r="G23" s="43">
        <f>IFERROR(HistoricalFS!G33/SUM(HistoricalFS!G47:G48),0)</f>
        <v>-1.3747723400505231E-2</v>
      </c>
      <c r="H23" s="43">
        <f>IFERROR(HistoricalFS!H33/SUM(HistoricalFS!H47:H48),0)</f>
        <v>8.3352841445165143E-4</v>
      </c>
      <c r="I23" s="43">
        <f>IFERROR(HistoricalFS!I33/SUM(HistoricalFS!I47:I48),0)</f>
        <v>7.7959783333625132E-2</v>
      </c>
      <c r="J23" s="43">
        <f>IFERROR(HistoricalFS!J33/SUM(HistoricalFS!J47:J48),0)</f>
        <v>0.13013810480741858</v>
      </c>
      <c r="K23" s="43">
        <f>IFERROR(HistoricalFS!K33/SUM(HistoricalFS!K47:K48),0)</f>
        <v>0.10460934285109441</v>
      </c>
      <c r="L23" s="43">
        <f>IFERROR(HistoricalFS!L33/SUM(HistoricalFS!L47:L48),0)</f>
        <v>0.10594646338772414</v>
      </c>
      <c r="M23" s="44"/>
      <c r="N23" s="43">
        <f t="shared" si="3"/>
        <v>2.3339462993598636E-2</v>
      </c>
      <c r="O23" s="43">
        <f t="shared" si="6"/>
        <v>4.1676420722582572E-4</v>
      </c>
    </row>
    <row r="24" spans="2:15" x14ac:dyDescent="0.2">
      <c r="B24" s="13" t="s">
        <v>98</v>
      </c>
      <c r="C24" s="43">
        <f>IFERROR(C22*C23,0)</f>
        <v>0</v>
      </c>
      <c r="D24" s="43">
        <f t="shared" ref="D24:L24" si="7">IFERROR(D22*D23,0)</f>
        <v>0</v>
      </c>
      <c r="E24" s="43">
        <f t="shared" si="7"/>
        <v>0</v>
      </c>
      <c r="F24" s="43">
        <f t="shared" si="7"/>
        <v>0</v>
      </c>
      <c r="G24" s="43">
        <f t="shared" si="7"/>
        <v>0</v>
      </c>
      <c r="H24" s="43">
        <f t="shared" si="7"/>
        <v>8.3352841445165143E-4</v>
      </c>
      <c r="I24" s="43">
        <f>IFERROR(I22*I23,0)</f>
        <v>7.7959783333625132E-2</v>
      </c>
      <c r="J24" s="43">
        <f t="shared" si="7"/>
        <v>0.11703481569155656</v>
      </c>
      <c r="K24" s="43">
        <f t="shared" si="7"/>
        <v>8.7270192932087348E-2</v>
      </c>
      <c r="L24" s="43">
        <f t="shared" si="7"/>
        <v>9.0402062921669274E-2</v>
      </c>
      <c r="M24" s="44"/>
      <c r="N24" s="43">
        <f t="shared" si="3"/>
        <v>3.7350038329338996E-2</v>
      </c>
      <c r="O24" s="43">
        <f t="shared" si="6"/>
        <v>4.1676420722582572E-4</v>
      </c>
    </row>
    <row r="25" spans="2:15" ht="13.5" thickBot="1" x14ac:dyDescent="0.25">
      <c r="B25" s="45" t="s">
        <v>106</v>
      </c>
      <c r="C25" s="49" t="e">
        <f>((HistoricalFS!C18-HistoricalFS!C24)/HistoricalFS!C21)</f>
        <v>#DIV/0!</v>
      </c>
      <c r="D25" s="49">
        <f>((HistoricalFS!D18-HistoricalFS!D24)/HistoricalFS!D21)</f>
        <v>0.455557784911717</v>
      </c>
      <c r="E25" s="49">
        <f>((HistoricalFS!E18-HistoricalFS!E24)/HistoricalFS!E21)</f>
        <v>0.19100332092180827</v>
      </c>
      <c r="F25" s="49">
        <f>((HistoricalFS!F18-HistoricalFS!F24)/HistoricalFS!F21)</f>
        <v>0.52750074059445107</v>
      </c>
      <c r="G25" s="49">
        <f>((HistoricalFS!G18-HistoricalFS!G24)/HistoricalFS!G21)</f>
        <v>0.57676597789524342</v>
      </c>
      <c r="H25" s="49">
        <f>((HistoricalFS!H18-HistoricalFS!H24)/HistoricalFS!H21)</f>
        <v>1.2816783684386506</v>
      </c>
      <c r="I25" s="49">
        <f>((HistoricalFS!I18-HistoricalFS!I24)/HistoricalFS!I21)</f>
        <v>7.1825121443442042</v>
      </c>
      <c r="J25" s="49">
        <f>((HistoricalFS!J18-HistoricalFS!J24)/HistoricalFS!J21)</f>
        <v>12.024087765323165</v>
      </c>
      <c r="K25" s="49">
        <f>((HistoricalFS!K18-HistoricalFS!K24)/HistoricalFS!K21)</f>
        <v>20.823843713474716</v>
      </c>
      <c r="L25" s="49">
        <f>((HistoricalFS!L18-HistoricalFS!L24)/HistoricalFS!L21)</f>
        <v>9.0254514604290357</v>
      </c>
      <c r="M25" s="47"/>
      <c r="N25" s="49">
        <f t="shared" si="3"/>
        <v>0</v>
      </c>
      <c r="O25" s="49">
        <f t="shared" si="6"/>
        <v>0</v>
      </c>
    </row>
    <row r="26" spans="2:15" ht="13.5" thickBot="1" x14ac:dyDescent="0.25"/>
    <row r="27" spans="2:15" x14ac:dyDescent="0.2">
      <c r="B27" s="40" t="s">
        <v>107</v>
      </c>
      <c r="C27" s="50" t="e">
        <f>HistoricalFS!C6/HistoricalFS!C59</f>
        <v>#DIV/0!</v>
      </c>
      <c r="D27" s="50">
        <f>HistoricalFS!D6/HistoricalFS!D59</f>
        <v>6.8489055446725153</v>
      </c>
      <c r="E27" s="50">
        <f>HistoricalFS!E6/HistoricalFS!E59</f>
        <v>6.185183860351982</v>
      </c>
      <c r="F27" s="50">
        <f>HistoricalFS!F6/HistoricalFS!F59</f>
        <v>4.6634676374065798</v>
      </c>
      <c r="G27" s="50">
        <f>HistoricalFS!G6/HistoricalFS!G59</f>
        <v>11.021230096784263</v>
      </c>
      <c r="H27" s="50">
        <f>HistoricalFS!H6/HistoricalFS!H59</f>
        <v>6.8454180218098344</v>
      </c>
      <c r="I27" s="50">
        <f>HistoricalFS!I6/HistoricalFS!I59</f>
        <v>10.20204484118746</v>
      </c>
      <c r="J27" s="50">
        <f>HistoricalFS!J6/HistoricalFS!J59</f>
        <v>13.574318695703916</v>
      </c>
      <c r="K27" s="50">
        <f>HistoricalFS!K6/HistoricalFS!K59</f>
        <v>11.683892022736606</v>
      </c>
      <c r="L27" s="50">
        <f>HistoricalFS!L6/HistoricalFS!L59</f>
        <v>10.226040651234523</v>
      </c>
      <c r="M27" s="42"/>
      <c r="N27" s="50">
        <f t="shared" si="3"/>
        <v>0</v>
      </c>
      <c r="O27" s="50">
        <f t="shared" ref="O27:O31" si="8">IFERROR(MEDIAN(C27:L27),0)</f>
        <v>0</v>
      </c>
    </row>
    <row r="28" spans="2:15" x14ac:dyDescent="0.2">
      <c r="B28" s="13" t="s">
        <v>111</v>
      </c>
      <c r="C28" s="51">
        <f>IFERROR(HistoricalFS!C6/HistoricalFS!C50,0)</f>
        <v>0</v>
      </c>
      <c r="D28" s="51">
        <f>IFERROR(HistoricalFS!D6/HistoricalFS!D50,0)</f>
        <v>1.4896399692487239</v>
      </c>
      <c r="E28" s="51">
        <f>IFERROR(HistoricalFS!E6/HistoricalFS!E50,0)</f>
        <v>1.4943781382606367</v>
      </c>
      <c r="F28" s="51">
        <f>IFERROR(HistoricalFS!F6/HistoricalFS!F50,0)</f>
        <v>1.2177876998415671</v>
      </c>
      <c r="G28" s="51">
        <f>IFERROR(HistoricalFS!G6/HistoricalFS!G50,0)</f>
        <v>1.9404327830404748</v>
      </c>
      <c r="H28" s="51">
        <f>IFERROR(HistoricalFS!H6/HistoricalFS!H50,0)</f>
        <v>1.3888830356499222</v>
      </c>
      <c r="I28" s="51">
        <f>IFERROR(HistoricalFS!I6/HistoricalFS!I50,0)</f>
        <v>1.972357119922941</v>
      </c>
      <c r="J28" s="51">
        <f>IFERROR(HistoricalFS!J6/HistoricalFS!J50,0)</f>
        <v>2.2775420556082464</v>
      </c>
      <c r="K28" s="51">
        <f>IFERROR(HistoricalFS!K6/HistoricalFS!K50,0)</f>
        <v>2.3577730771746954</v>
      </c>
      <c r="L28" s="51">
        <f>IFERROR(HistoricalFS!L6/HistoricalFS!L50,0)</f>
        <v>2.5144028505194469</v>
      </c>
      <c r="M28" s="44"/>
      <c r="N28" s="51">
        <f t="shared" si="3"/>
        <v>1.6653196729266653</v>
      </c>
      <c r="O28" s="51">
        <f t="shared" si="8"/>
        <v>1.7174054606505558</v>
      </c>
    </row>
    <row r="29" spans="2:15" x14ac:dyDescent="0.2">
      <c r="B29" s="13" t="s">
        <v>108</v>
      </c>
      <c r="C29" s="51">
        <f>IFERROR(HistoricalFS!C6/HistoricalFS!C60,0)</f>
        <v>0</v>
      </c>
      <c r="D29" s="51">
        <f>IFERROR(HistoricalFS!D6/HistoricalFS!D60,0)</f>
        <v>69.561418685121097</v>
      </c>
      <c r="E29" s="51">
        <f>IFERROR(HistoricalFS!E6/HistoricalFS!E60,0)</f>
        <v>61.164839051998591</v>
      </c>
      <c r="F29" s="51">
        <f>IFERROR(HistoricalFS!F6/HistoricalFS!F60,0)</f>
        <v>65.014225297962312</v>
      </c>
      <c r="G29" s="51">
        <f>IFERROR(HistoricalFS!G6/HistoricalFS!G60,0)</f>
        <v>39.516044776119401</v>
      </c>
      <c r="H29" s="51">
        <f>IFERROR(HistoricalFS!H6/HistoricalFS!H60,0)</f>
        <v>46.55520446096655</v>
      </c>
      <c r="I29" s="51">
        <f>IFERROR(HistoricalFS!I6/HistoricalFS!I60,0)</f>
        <v>64.072033898305079</v>
      </c>
      <c r="J29" s="51">
        <f>IFERROR(HistoricalFS!J6/HistoricalFS!J60,0)</f>
        <v>59.85307621671258</v>
      </c>
      <c r="K29" s="51">
        <f>IFERROR(HistoricalFS!K6/HistoricalFS!K60,0)</f>
        <v>67.710671342685373</v>
      </c>
      <c r="L29" s="51">
        <f>IFERROR(HistoricalFS!L6/HistoricalFS!L60,0)</f>
        <v>66.175124752848134</v>
      </c>
      <c r="M29" s="44"/>
      <c r="N29" s="51">
        <f t="shared" si="3"/>
        <v>53.962263848271903</v>
      </c>
      <c r="O29" s="51">
        <f t="shared" si="8"/>
        <v>62.618436475151839</v>
      </c>
    </row>
    <row r="30" spans="2:15" x14ac:dyDescent="0.2">
      <c r="B30" s="13" t="s">
        <v>109</v>
      </c>
      <c r="C30" s="51">
        <f>IFERROR(HistoricalFS!C6/HistoricalFS!C53,0)</f>
        <v>0</v>
      </c>
      <c r="D30" s="51">
        <f>IFERROR(HistoricalFS!D6/HistoricalFS!D53,0)</f>
        <v>0.71661676113071693</v>
      </c>
      <c r="E30" s="51">
        <f>IFERROR(HistoricalFS!E6/HistoricalFS!E53,0)</f>
        <v>0.77637640424213594</v>
      </c>
      <c r="F30" s="51">
        <f>IFERROR(HistoricalFS!F6/HistoricalFS!F53,0)</f>
        <v>0.77132053439884696</v>
      </c>
      <c r="G30" s="51">
        <f>IFERROR(HistoricalFS!G6/HistoricalFS!G53,0)</f>
        <v>1.2445267054468534</v>
      </c>
      <c r="H30" s="51">
        <f>IFERROR(HistoricalFS!H6/HistoricalFS!H53,0)</f>
        <v>0.38318916586856944</v>
      </c>
      <c r="I30" s="51">
        <f>IFERROR(HistoricalFS!I6/HistoricalFS!I53,0)</f>
        <v>0.56023016481465127</v>
      </c>
      <c r="J30" s="51">
        <f>IFERROR(HistoricalFS!J6/HistoricalFS!J53,0)</f>
        <v>0.64821628993990377</v>
      </c>
      <c r="K30" s="51">
        <f>IFERROR(HistoricalFS!K6/HistoricalFS!K53,0)</f>
        <v>0.61546115584680239</v>
      </c>
      <c r="L30" s="51">
        <f>IFERROR(HistoricalFS!L6/HistoricalFS!L53,0)</f>
        <v>0.61108594550840356</v>
      </c>
      <c r="M30" s="44"/>
      <c r="N30" s="51">
        <f t="shared" si="3"/>
        <v>0.63270231271968824</v>
      </c>
      <c r="O30" s="51">
        <f t="shared" si="8"/>
        <v>0.63183872289335308</v>
      </c>
    </row>
    <row r="31" spans="2:15" ht="13.5" thickBot="1" x14ac:dyDescent="0.25">
      <c r="B31" s="45" t="s">
        <v>113</v>
      </c>
      <c r="C31" s="49">
        <f>IFERROR(HistoricalFS!C6/SUM(HistoricalFS!C47:C48),0)</f>
        <v>0</v>
      </c>
      <c r="D31" s="49">
        <f>IFERROR(HistoricalFS!D6/SUM(HistoricalFS!D47:D48),0)</f>
        <v>1.3487814287391602</v>
      </c>
      <c r="E31" s="49">
        <f>IFERROR(HistoricalFS!E6/SUM(HistoricalFS!E47:E48),0)</f>
        <v>1.4856217405125829</v>
      </c>
      <c r="F31" s="49">
        <f>IFERROR(HistoricalFS!F6/SUM(HistoricalFS!F47:F48),0)</f>
        <v>1.755645303626491</v>
      </c>
      <c r="G31" s="49">
        <f>IFERROR(HistoricalFS!G6/SUM(HistoricalFS!G47:G48),0)</f>
        <v>0.41479349039421887</v>
      </c>
      <c r="H31" s="49">
        <f>IFERROR(HistoricalFS!H6/SUM(HistoricalFS!H47:H48),0)</f>
        <v>0.44419438592010901</v>
      </c>
      <c r="I31" s="49">
        <f>IFERROR(HistoricalFS!I6/SUM(HistoricalFS!I47:I48),0)</f>
        <v>0.6257825345763689</v>
      </c>
      <c r="J31" s="49">
        <f>IFERROR(HistoricalFS!J6/SUM(HistoricalFS!J47:J48),0)</f>
        <v>0.61576956349811529</v>
      </c>
      <c r="K31" s="49">
        <f>IFERROR(HistoricalFS!K6/SUM(HistoricalFS!K47:K48),0)</f>
        <v>0.64295075962103398</v>
      </c>
      <c r="L31" s="49">
        <f>IFERROR(HistoricalFS!L6/SUM(HistoricalFS!L47:L48),0)</f>
        <v>0.74923328006890633</v>
      </c>
      <c r="M31" s="47"/>
      <c r="N31" s="49">
        <f t="shared" si="3"/>
        <v>0.80827724869569872</v>
      </c>
      <c r="O31" s="49">
        <f t="shared" si="8"/>
        <v>0.6343666470987015</v>
      </c>
    </row>
    <row r="32" spans="2:15" ht="13.5" thickBot="1" x14ac:dyDescent="0.25"/>
    <row r="33" spans="2:15" x14ac:dyDescent="0.2">
      <c r="B33" s="40" t="s">
        <v>110</v>
      </c>
      <c r="C33" s="52">
        <f>IFERROR(365/C27,0)</f>
        <v>0</v>
      </c>
      <c r="D33" s="52">
        <f t="shared" ref="D33:L35" si="9">IFERROR(365/D27,0)</f>
        <v>53.293186425080521</v>
      </c>
      <c r="E33" s="52">
        <f t="shared" si="9"/>
        <v>59.011988687952901</v>
      </c>
      <c r="F33" s="52">
        <f t="shared" si="9"/>
        <v>78.26793887712742</v>
      </c>
      <c r="G33" s="52">
        <f t="shared" si="9"/>
        <v>33.117900342766497</v>
      </c>
      <c r="H33" s="52">
        <f t="shared" si="9"/>
        <v>53.320337609345735</v>
      </c>
      <c r="I33" s="52">
        <f t="shared" si="9"/>
        <v>35.777141316457502</v>
      </c>
      <c r="J33" s="52">
        <f t="shared" si="9"/>
        <v>26.88901065182133</v>
      </c>
      <c r="K33" s="52">
        <f t="shared" si="9"/>
        <v>31.239590308581914</v>
      </c>
      <c r="L33" s="52">
        <f t="shared" si="9"/>
        <v>35.693188835107549</v>
      </c>
      <c r="M33" s="42"/>
      <c r="N33" s="52">
        <f t="shared" si="3"/>
        <v>40.661028305424132</v>
      </c>
      <c r="O33" s="52">
        <f t="shared" ref="O33:O40" si="10">IFERROR(MEDIAN(C33:L33),0)</f>
        <v>35.735165075782525</v>
      </c>
    </row>
    <row r="34" spans="2:15" x14ac:dyDescent="0.2">
      <c r="B34" s="13" t="s">
        <v>112</v>
      </c>
      <c r="C34" s="53">
        <f>IFERROR(365/C28,0)</f>
        <v>0</v>
      </c>
      <c r="D34" s="53">
        <f t="shared" si="9"/>
        <v>245.02564883787451</v>
      </c>
      <c r="E34" s="53">
        <f t="shared" si="9"/>
        <v>244.24875515432615</v>
      </c>
      <c r="F34" s="53">
        <f t="shared" si="9"/>
        <v>299.72383531832855</v>
      </c>
      <c r="G34" s="53">
        <f t="shared" si="9"/>
        <v>188.1023672606064</v>
      </c>
      <c r="H34" s="53">
        <f t="shared" si="9"/>
        <v>262.80110753113183</v>
      </c>
      <c r="I34" s="53">
        <f t="shared" si="9"/>
        <v>185.05776479984536</v>
      </c>
      <c r="J34" s="53">
        <f t="shared" si="9"/>
        <v>160.26048744137114</v>
      </c>
      <c r="K34" s="53">
        <f t="shared" si="9"/>
        <v>154.8070946833345</v>
      </c>
      <c r="L34" s="53">
        <f t="shared" si="9"/>
        <v>145.16369161950129</v>
      </c>
      <c r="M34" s="44"/>
      <c r="N34" s="53">
        <f t="shared" si="3"/>
        <v>188.51907526463197</v>
      </c>
      <c r="O34" s="53">
        <f t="shared" si="10"/>
        <v>186.58006603022588</v>
      </c>
    </row>
    <row r="35" spans="2:15" x14ac:dyDescent="0.2">
      <c r="B35" s="13" t="s">
        <v>114</v>
      </c>
      <c r="C35" s="53">
        <f>IFERROR(365/C29,0)</f>
        <v>0</v>
      </c>
      <c r="D35" s="53">
        <f t="shared" si="9"/>
        <v>5.2471615286085589</v>
      </c>
      <c r="E35" s="53">
        <f t="shared" si="9"/>
        <v>5.9674807562184444</v>
      </c>
      <c r="F35" s="53">
        <f t="shared" si="9"/>
        <v>5.6141559532116716</v>
      </c>
      <c r="G35" s="53">
        <f t="shared" si="9"/>
        <v>9.2367543884498087</v>
      </c>
      <c r="H35" s="53">
        <f t="shared" si="9"/>
        <v>7.8401545912235928</v>
      </c>
      <c r="I35" s="53">
        <f t="shared" si="9"/>
        <v>5.696713180345216</v>
      </c>
      <c r="J35" s="53">
        <f t="shared" si="9"/>
        <v>6.0982663393679042</v>
      </c>
      <c r="K35" s="53">
        <f t="shared" si="9"/>
        <v>5.3905830907025871</v>
      </c>
      <c r="L35" s="53">
        <f t="shared" si="9"/>
        <v>5.5156677280656075</v>
      </c>
      <c r="M35" s="44"/>
      <c r="N35" s="53">
        <f t="shared" si="3"/>
        <v>5.6606937556193389</v>
      </c>
      <c r="O35" s="53">
        <f t="shared" si="10"/>
        <v>5.6554345667784442</v>
      </c>
    </row>
    <row r="36" spans="2:15" ht="13.5" thickBot="1" x14ac:dyDescent="0.25">
      <c r="B36" s="45" t="s">
        <v>125</v>
      </c>
      <c r="C36" s="54">
        <f>SUM(C33,C35)-C34</f>
        <v>0</v>
      </c>
      <c r="D36" s="54">
        <f t="shared" ref="D36:L36" si="11">SUM(D33,D35)-D34</f>
        <v>-186.48530088418545</v>
      </c>
      <c r="E36" s="54">
        <f t="shared" si="11"/>
        <v>-179.2692857101548</v>
      </c>
      <c r="F36" s="54">
        <f t="shared" si="11"/>
        <v>-215.84174048798945</v>
      </c>
      <c r="G36" s="54">
        <f t="shared" si="11"/>
        <v>-145.7477125293901</v>
      </c>
      <c r="H36" s="54">
        <f t="shared" si="11"/>
        <v>-201.6406153305625</v>
      </c>
      <c r="I36" s="54">
        <f t="shared" si="11"/>
        <v>-143.58391030304264</v>
      </c>
      <c r="J36" s="54">
        <f t="shared" si="11"/>
        <v>-127.27321045018191</v>
      </c>
      <c r="K36" s="54">
        <f t="shared" si="11"/>
        <v>-118.17692128405</v>
      </c>
      <c r="L36" s="54">
        <f t="shared" si="11"/>
        <v>-103.95483505632814</v>
      </c>
      <c r="M36" s="47"/>
      <c r="N36" s="54">
        <f t="shared" si="3"/>
        <v>-142.19735320358851</v>
      </c>
      <c r="O36" s="54">
        <f t="shared" si="10"/>
        <v>-144.66581141621637</v>
      </c>
    </row>
    <row r="37" spans="2:15" ht="13.5" thickBot="1" x14ac:dyDescent="0.25"/>
    <row r="38" spans="2:15" x14ac:dyDescent="0.2">
      <c r="B38" s="40" t="s">
        <v>117</v>
      </c>
      <c r="C38" s="41">
        <f>IFERROR(HistoricalFS!C70/HistoricalFS!C6,0)</f>
        <v>0</v>
      </c>
      <c r="D38" s="41">
        <f>IFERROR(HistoricalFS!D70/HistoricalFS!D6,0)</f>
        <v>9.7036548816733612E-2</v>
      </c>
      <c r="E38" s="41">
        <f>IFERROR(HistoricalFS!E70/HistoricalFS!E6,0)</f>
        <v>9.5834321306090348E-2</v>
      </c>
      <c r="F38" s="41">
        <f>IFERROR(HistoricalFS!F70/HistoricalFS!F6,0)</f>
        <v>5.2601388511076159E-2</v>
      </c>
      <c r="G38" s="41">
        <f>IFERROR(HistoricalFS!G70/HistoricalFS!G6,0)</f>
        <v>7.2793027581843764E-2</v>
      </c>
      <c r="H38" s="41">
        <f>IFERROR(HistoricalFS!H70/HistoricalFS!H6,0)</f>
        <v>4.7056099206681919E-2</v>
      </c>
      <c r="I38" s="41">
        <f>IFERROR(HistoricalFS!I70/HistoricalFS!I6,0)</f>
        <v>0.19038474256383126</v>
      </c>
      <c r="J38" s="41">
        <f>IFERROR(HistoricalFS!J70/HistoricalFS!J6,0)</f>
        <v>0.28144698198395651</v>
      </c>
      <c r="K38" s="41">
        <f>IFERROR(HistoricalFS!K70/HistoricalFS!K6,0)</f>
        <v>0.20750940618051725</v>
      </c>
      <c r="L38" s="41">
        <f>IFERROR(HistoricalFS!L70/HistoricalFS!L6,0)</f>
        <v>0.20762869817854834</v>
      </c>
      <c r="M38" s="42"/>
      <c r="N38" s="41">
        <f t="shared" si="3"/>
        <v>0.12522912143292789</v>
      </c>
      <c r="O38" s="41">
        <f t="shared" si="10"/>
        <v>9.6435435061411973E-2</v>
      </c>
    </row>
    <row r="39" spans="2:15" x14ac:dyDescent="0.2">
      <c r="B39" s="13" t="s">
        <v>118</v>
      </c>
      <c r="C39" s="43">
        <f>IFERROR(HistoricalFS!C70/HistoricalFS!C64,HistoricalFS!B52)</f>
        <v>0</v>
      </c>
      <c r="D39" s="43">
        <f>IFERROR(HistoricalFS!D70/HistoricalFS!D64,HistoricalFS!C52)</f>
        <v>4.9604271955754745E-2</v>
      </c>
      <c r="E39" s="43">
        <f>IFERROR(HistoricalFS!E70/HistoricalFS!E64,HistoricalFS!D52)</f>
        <v>5.0192032760667811E-2</v>
      </c>
      <c r="F39" s="43">
        <f>IFERROR(HistoricalFS!F70/HistoricalFS!F64,HistoricalFS!E52)</f>
        <v>2.6516303278541917E-2</v>
      </c>
      <c r="G39" s="43">
        <f>IFERROR(HistoricalFS!G70/HistoricalFS!G64,HistoricalFS!F52)</f>
        <v>1.9400250650533767E-2</v>
      </c>
      <c r="H39" s="43">
        <f>IFERROR(HistoricalFS!H70/HistoricalFS!H64,HistoricalFS!G52)</f>
        <v>1.3795347552396803E-2</v>
      </c>
      <c r="I39" s="43">
        <f>IFERROR(HistoricalFS!I70/HistoricalFS!I64,HistoricalFS!H52)</f>
        <v>8.1453848188022149E-2</v>
      </c>
      <c r="J39" s="43">
        <f>IFERROR(HistoricalFS!J70/HistoricalFS!J64,HistoricalFS!I52)</f>
        <v>0.12711830011334557</v>
      </c>
      <c r="K39" s="43">
        <f>IFERROR(HistoricalFS!K70/HistoricalFS!K64,HistoricalFS!J52)</f>
        <v>9.3483800752337087E-2</v>
      </c>
      <c r="L39" s="43">
        <f>IFERROR(HistoricalFS!L70/HistoricalFS!L64,HistoricalFS!K52)</f>
        <v>9.6092961879150091E-2</v>
      </c>
      <c r="M39" s="44"/>
      <c r="N39" s="43">
        <f t="shared" si="3"/>
        <v>5.5765711713074997E-2</v>
      </c>
      <c r="O39" s="43">
        <f t="shared" si="10"/>
        <v>4.9898152358211281E-2</v>
      </c>
    </row>
    <row r="40" spans="2:15" ht="13.5" thickBot="1" x14ac:dyDescent="0.25">
      <c r="B40" s="45" t="s">
        <v>119</v>
      </c>
      <c r="C40" s="46">
        <f>IFERROR(HistoricalFS!C70/HistoricalFS!C49,0)</f>
        <v>0</v>
      </c>
      <c r="D40" s="46">
        <f>IFERROR(HistoricalFS!D70/HistoricalFS!D49,0)</f>
        <v>0.17853996728025717</v>
      </c>
      <c r="E40" s="46">
        <f>IFERROR(HistoricalFS!E70/HistoricalFS!E49,0)</f>
        <v>0.16900216211805982</v>
      </c>
      <c r="F40" s="46">
        <f>IFERROR(HistoricalFS!F70/HistoricalFS!F49,0)</f>
        <v>8.8706058339566199E-2</v>
      </c>
      <c r="G40" s="46">
        <f>IFERROR(HistoricalFS!G70/HistoricalFS!G49,0)</f>
        <v>8.8129044058806047E-2</v>
      </c>
      <c r="H40" s="46">
        <f>IFERROR(HistoricalFS!H70/HistoricalFS!H49,0)</f>
        <v>0.107008289374529</v>
      </c>
      <c r="I40" s="46">
        <f>IFERROR(HistoricalFS!I70/HistoricalFS!I49,0)</f>
        <v>0.819472727670849</v>
      </c>
      <c r="J40" s="46">
        <f>IFERROR(HistoricalFS!J70/HistoricalFS!J49,0)</f>
        <v>1.8638672782164423</v>
      </c>
      <c r="K40" s="46">
        <f>IFERROR(HistoricalFS!K70/HistoricalFS!K49,0)</f>
        <v>0.86362061665191114</v>
      </c>
      <c r="L40" s="46">
        <f>IFERROR(HistoricalFS!L70/HistoricalFS!L49,0)</f>
        <v>0.48477389221636452</v>
      </c>
      <c r="M40" s="47"/>
      <c r="N40" s="46">
        <f t="shared" si="3"/>
        <v>0.46631200359267855</v>
      </c>
      <c r="O40" s="46">
        <f t="shared" si="10"/>
        <v>0.17377106469915848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0000000-0003-0000-0100-000001000000}">
          <x14:colorSeries theme="4" tint="0.59999389629810485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00000000-0003-0000-0100-000000000000}">
          <x14:colorSeries theme="4" tint="0.59999389629810485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8"/>
  <sheetViews>
    <sheetView showGridLines="0" workbookViewId="0">
      <selection activeCell="D10" sqref="A1:XFD1048576"/>
    </sheetView>
  </sheetViews>
  <sheetFormatPr defaultRowHeight="12.75" x14ac:dyDescent="0.2"/>
  <cols>
    <col min="1" max="1" width="1.85546875" style="13" customWidth="1"/>
    <col min="2" max="2" width="12.140625" style="13" bestFit="1" customWidth="1"/>
    <col min="3" max="3" width="6.28515625" style="13" bestFit="1" customWidth="1"/>
    <col min="4" max="4" width="7.140625" style="13" bestFit="1" customWidth="1"/>
    <col min="5" max="5" width="13.28515625" style="13" bestFit="1" customWidth="1"/>
    <col min="6" max="6" width="2.7109375" style="13" customWidth="1"/>
    <col min="7" max="7" width="12.140625" style="13" bestFit="1" customWidth="1"/>
    <col min="8" max="8" width="6.28515625" style="13" bestFit="1" customWidth="1"/>
    <col min="9" max="9" width="7.7109375" style="13" bestFit="1" customWidth="1"/>
    <col min="10" max="10" width="15" style="13" bestFit="1" customWidth="1"/>
    <col min="11" max="11" width="2.7109375" style="13" customWidth="1"/>
    <col min="12" max="12" width="12.140625" style="13" bestFit="1" customWidth="1"/>
    <col min="13" max="13" width="6.28515625" style="13" bestFit="1" customWidth="1"/>
    <col min="14" max="14" width="7.7109375" style="13" bestFit="1" customWidth="1"/>
    <col min="15" max="15" width="15" style="13" bestFit="1" customWidth="1"/>
    <col min="16" max="16384" width="9.140625" style="13"/>
  </cols>
  <sheetData>
    <row r="2" spans="2:15" x14ac:dyDescent="0.2">
      <c r="B2" s="55" t="str">
        <f>'Data Sheet'!$B$1&amp;" - "&amp;'Data Sheet'!A17&amp;" Forecasting"</f>
        <v>MAX HEALTHCARE INSTITUTE LTD - Sales Forecasting</v>
      </c>
      <c r="C2" s="55"/>
      <c r="D2" s="55"/>
      <c r="E2" s="55"/>
      <c r="G2" s="55" t="str">
        <f>'Data Sheet'!$B$1&amp;" - "&amp;'Data Sheet'!A34&amp;" Forecasting"</f>
        <v>MAX HEALTHCARE INSTITUTE LTD - EBITDA Forecasting</v>
      </c>
      <c r="H2" s="55"/>
      <c r="I2" s="55"/>
      <c r="J2" s="55"/>
      <c r="L2" s="55" t="str">
        <f>'Data Sheet'!$B$1&amp;" - "&amp;HistoricalFS!B38&amp;" Forecasting"</f>
        <v>MAX HEALTHCARE INSTITUTE LTD - Earnings per Share Forecasting</v>
      </c>
      <c r="M2" s="55"/>
      <c r="N2" s="55"/>
      <c r="O2" s="55"/>
    </row>
    <row r="3" spans="2:15" x14ac:dyDescent="0.2">
      <c r="B3" s="15" t="s">
        <v>120</v>
      </c>
      <c r="C3" s="56" t="s">
        <v>121</v>
      </c>
      <c r="D3" s="56" t="s">
        <v>12</v>
      </c>
      <c r="E3" s="56" t="s">
        <v>60</v>
      </c>
      <c r="G3" s="15" t="s">
        <v>120</v>
      </c>
      <c r="H3" s="56" t="s">
        <v>121</v>
      </c>
      <c r="I3" s="56" t="s">
        <v>28</v>
      </c>
      <c r="J3" s="56" t="s">
        <v>102</v>
      </c>
      <c r="L3" s="15" t="s">
        <v>120</v>
      </c>
      <c r="M3" s="56" t="s">
        <v>121</v>
      </c>
      <c r="N3" s="56" t="s">
        <v>28</v>
      </c>
      <c r="O3" s="56" t="s">
        <v>102</v>
      </c>
    </row>
    <row r="4" spans="2:15" x14ac:dyDescent="0.2">
      <c r="B4" s="57">
        <v>1</v>
      </c>
      <c r="C4" s="58">
        <f>'Data Sheet'!$B$16</f>
        <v>41729</v>
      </c>
      <c r="D4" s="59">
        <f t="array" ref="D4:D13">TRANSPOSE('Data Sheet'!B17:K17)</f>
        <v>0</v>
      </c>
      <c r="G4" s="57">
        <v>1</v>
      </c>
      <c r="H4" s="58">
        <f>'Data Sheet'!$B$16</f>
        <v>41729</v>
      </c>
      <c r="I4" s="59">
        <f t="array" ref="I4:I13">TRANSPOSE('Data Sheet'!B34:K34)</f>
        <v>0</v>
      </c>
      <c r="L4" s="57">
        <v>1</v>
      </c>
      <c r="M4" s="58">
        <f>'Data Sheet'!$B$16</f>
        <v>41729</v>
      </c>
      <c r="N4" s="59">
        <f t="array" ref="N4:N13">TRANSPOSE(HistoricalFS!C38:L38)</f>
        <v>0</v>
      </c>
    </row>
    <row r="5" spans="2:15" x14ac:dyDescent="0.2">
      <c r="B5" s="57">
        <f>B4+1</f>
        <v>2</v>
      </c>
      <c r="C5" s="58">
        <f>C4+365</f>
        <v>42094</v>
      </c>
      <c r="D5" s="59">
        <v>1608.26</v>
      </c>
      <c r="E5" s="28" t="e">
        <f>D5/D4-1</f>
        <v>#DIV/0!</v>
      </c>
      <c r="G5" s="57">
        <f>G4+1</f>
        <v>2</v>
      </c>
      <c r="H5" s="58">
        <f>H4+365</f>
        <v>42094</v>
      </c>
      <c r="I5" s="59">
        <v>199.89000000000001</v>
      </c>
      <c r="J5" s="28" t="e">
        <f>I5/I4-1</f>
        <v>#DIV/0!</v>
      </c>
      <c r="L5" s="57">
        <f>L4+1</f>
        <v>2</v>
      </c>
      <c r="M5" s="58">
        <f>M4+365</f>
        <v>42094</v>
      </c>
      <c r="N5" s="59">
        <v>-0.803797468354431</v>
      </c>
      <c r="O5" s="28" t="e">
        <f>N5/N4-1</f>
        <v>#DIV/0!</v>
      </c>
    </row>
    <row r="6" spans="2:15" x14ac:dyDescent="0.2">
      <c r="B6" s="57">
        <f t="shared" ref="B6:B18" si="0">B5+1</f>
        <v>3</v>
      </c>
      <c r="C6" s="58">
        <f t="shared" ref="C6:C18" si="1">C5+365</f>
        <v>42459</v>
      </c>
      <c r="D6" s="59">
        <v>1729.13</v>
      </c>
      <c r="E6" s="28">
        <f t="shared" ref="E6:E18" si="2">D6/D5-1</f>
        <v>7.5155758397274175E-2</v>
      </c>
      <c r="G6" s="57">
        <f t="shared" ref="G6:G18" si="3">G5+1</f>
        <v>3</v>
      </c>
      <c r="H6" s="58">
        <f t="shared" ref="H6:H18" si="4">H5+365</f>
        <v>42459</v>
      </c>
      <c r="I6" s="59">
        <v>178.59</v>
      </c>
      <c r="J6" s="28">
        <f t="shared" ref="J6:J18" si="5">I6/I5-1</f>
        <v>-0.1065586072339787</v>
      </c>
      <c r="L6" s="57">
        <f t="shared" ref="L6:L18" si="6">L5+1</f>
        <v>3</v>
      </c>
      <c r="M6" s="58">
        <f t="shared" ref="M6:M18" si="7">M5+365</f>
        <v>42459</v>
      </c>
      <c r="N6" s="59">
        <v>-1.6816827997021582</v>
      </c>
      <c r="O6" s="28">
        <f t="shared" ref="O6:O18" si="8">N6/N5-1</f>
        <v>1.0921723019916598</v>
      </c>
    </row>
    <row r="7" spans="2:15" x14ac:dyDescent="0.2">
      <c r="B7" s="57">
        <f t="shared" si="0"/>
        <v>4</v>
      </c>
      <c r="C7" s="58">
        <f t="shared" si="1"/>
        <v>42824</v>
      </c>
      <c r="D7" s="59">
        <v>1691.02</v>
      </c>
      <c r="E7" s="28">
        <f t="shared" si="2"/>
        <v>-2.2039985426197006E-2</v>
      </c>
      <c r="G7" s="57">
        <f t="shared" si="3"/>
        <v>4</v>
      </c>
      <c r="H7" s="58">
        <f t="shared" si="4"/>
        <v>42824</v>
      </c>
      <c r="I7" s="59">
        <v>209.41</v>
      </c>
      <c r="J7" s="28">
        <f t="shared" si="5"/>
        <v>0.17257405229856082</v>
      </c>
      <c r="L7" s="57">
        <f t="shared" si="6"/>
        <v>4</v>
      </c>
      <c r="M7" s="58">
        <f t="shared" si="7"/>
        <v>42824</v>
      </c>
      <c r="N7" s="59">
        <v>-1.0491437081161568</v>
      </c>
      <c r="O7" s="28">
        <f t="shared" si="8"/>
        <v>-0.37613460261235354</v>
      </c>
    </row>
    <row r="8" spans="2:15" x14ac:dyDescent="0.2">
      <c r="B8" s="57">
        <f t="shared" si="0"/>
        <v>5</v>
      </c>
      <c r="C8" s="58">
        <f t="shared" si="1"/>
        <v>43189</v>
      </c>
      <c r="D8" s="59">
        <v>1059.03</v>
      </c>
      <c r="E8" s="28">
        <f t="shared" si="2"/>
        <v>-0.37373301321096142</v>
      </c>
      <c r="G8" s="57">
        <f t="shared" si="3"/>
        <v>5</v>
      </c>
      <c r="H8" s="58">
        <f t="shared" si="4"/>
        <v>43189</v>
      </c>
      <c r="I8" s="59">
        <v>187.74</v>
      </c>
      <c r="J8" s="28">
        <f t="shared" si="5"/>
        <v>-0.10348120911131264</v>
      </c>
      <c r="L8" s="57">
        <f t="shared" si="6"/>
        <v>5</v>
      </c>
      <c r="M8" s="58">
        <f t="shared" si="7"/>
        <v>43189</v>
      </c>
      <c r="N8" s="59">
        <v>-0.65338793745346113</v>
      </c>
      <c r="O8" s="28">
        <f t="shared" si="8"/>
        <v>-0.37721788502484088</v>
      </c>
    </row>
    <row r="9" spans="2:15" x14ac:dyDescent="0.2">
      <c r="B9" s="57">
        <f t="shared" si="0"/>
        <v>6</v>
      </c>
      <c r="C9" s="58">
        <f t="shared" si="1"/>
        <v>43554</v>
      </c>
      <c r="D9" s="59">
        <v>2504.67</v>
      </c>
      <c r="E9" s="28">
        <f t="shared" si="2"/>
        <v>1.3650604798730916</v>
      </c>
      <c r="G9" s="57">
        <f t="shared" si="3"/>
        <v>6</v>
      </c>
      <c r="H9" s="58">
        <f t="shared" si="4"/>
        <v>43554</v>
      </c>
      <c r="I9" s="59">
        <v>261.85000000000002</v>
      </c>
      <c r="J9" s="28">
        <f t="shared" si="5"/>
        <v>0.39474805582188144</v>
      </c>
      <c r="L9" s="57">
        <f t="shared" si="6"/>
        <v>6</v>
      </c>
      <c r="M9" s="58">
        <f t="shared" si="7"/>
        <v>43554</v>
      </c>
      <c r="N9" s="59">
        <v>4.865928149912245E-2</v>
      </c>
      <c r="O9" s="28">
        <f t="shared" si="8"/>
        <v>-1.0744722678670331</v>
      </c>
    </row>
    <row r="10" spans="2:15" x14ac:dyDescent="0.2">
      <c r="B10" s="57">
        <f t="shared" si="0"/>
        <v>7</v>
      </c>
      <c r="C10" s="58">
        <f t="shared" si="1"/>
        <v>43919</v>
      </c>
      <c r="D10" s="59">
        <v>3931.46</v>
      </c>
      <c r="E10" s="28">
        <f t="shared" si="2"/>
        <v>0.56965189026897756</v>
      </c>
      <c r="G10" s="57">
        <f t="shared" si="3"/>
        <v>7</v>
      </c>
      <c r="H10" s="58">
        <f t="shared" si="4"/>
        <v>43919</v>
      </c>
      <c r="I10" s="59">
        <v>1060.8899999999999</v>
      </c>
      <c r="J10" s="28">
        <f t="shared" si="5"/>
        <v>3.0515180446820693</v>
      </c>
      <c r="L10" s="57">
        <f t="shared" si="6"/>
        <v>7</v>
      </c>
      <c r="M10" s="58">
        <f t="shared" si="7"/>
        <v>43919</v>
      </c>
      <c r="N10" s="59">
        <v>5.0513613861386126</v>
      </c>
      <c r="O10" s="28">
        <f t="shared" si="8"/>
        <v>102.8108502738519</v>
      </c>
    </row>
    <row r="11" spans="2:15" x14ac:dyDescent="0.2">
      <c r="B11" s="57">
        <f t="shared" si="0"/>
        <v>8</v>
      </c>
      <c r="C11" s="58">
        <f t="shared" si="1"/>
        <v>44284</v>
      </c>
      <c r="D11" s="59">
        <v>4562.6000000000004</v>
      </c>
      <c r="E11" s="28">
        <f t="shared" si="2"/>
        <v>0.16053578060059115</v>
      </c>
      <c r="G11" s="57">
        <f t="shared" si="3"/>
        <v>8</v>
      </c>
      <c r="H11" s="58">
        <f t="shared" si="4"/>
        <v>44284</v>
      </c>
      <c r="I11" s="59">
        <v>1379.77</v>
      </c>
      <c r="J11" s="28">
        <f t="shared" si="5"/>
        <v>0.30057781673877604</v>
      </c>
      <c r="L11" s="57">
        <f t="shared" si="6"/>
        <v>8</v>
      </c>
      <c r="M11" s="58">
        <f t="shared" si="7"/>
        <v>44284</v>
      </c>
      <c r="N11" s="59">
        <v>9.9317128437532247</v>
      </c>
      <c r="O11" s="28">
        <f t="shared" si="8"/>
        <v>0.96614577428705317</v>
      </c>
    </row>
    <row r="12" spans="2:15" x14ac:dyDescent="0.2">
      <c r="B12" s="57">
        <f t="shared" si="0"/>
        <v>9</v>
      </c>
      <c r="C12" s="58">
        <f t="shared" si="1"/>
        <v>44649</v>
      </c>
      <c r="D12" s="59">
        <v>5406.02</v>
      </c>
      <c r="E12" s="28">
        <f t="shared" si="2"/>
        <v>0.18485512646298163</v>
      </c>
      <c r="G12" s="57">
        <f t="shared" si="3"/>
        <v>9</v>
      </c>
      <c r="H12" s="58">
        <f t="shared" si="4"/>
        <v>44649</v>
      </c>
      <c r="I12" s="59">
        <v>1670.1900000000003</v>
      </c>
      <c r="J12" s="28">
        <f t="shared" si="5"/>
        <v>0.21048435608833382</v>
      </c>
      <c r="L12" s="57">
        <f t="shared" si="6"/>
        <v>9</v>
      </c>
      <c r="M12" s="58">
        <f t="shared" si="7"/>
        <v>44649</v>
      </c>
      <c r="N12" s="59">
        <v>9.0500051445622063</v>
      </c>
      <c r="O12" s="28">
        <f t="shared" si="8"/>
        <v>-8.8777002825407791E-2</v>
      </c>
    </row>
    <row r="13" spans="2:15" x14ac:dyDescent="0.2">
      <c r="B13" s="57">
        <f t="shared" si="0"/>
        <v>10</v>
      </c>
      <c r="C13" s="58">
        <f t="shared" si="1"/>
        <v>45014</v>
      </c>
      <c r="D13" s="59">
        <v>7028.46</v>
      </c>
      <c r="E13" s="28">
        <f t="shared" si="2"/>
        <v>0.30011727666564303</v>
      </c>
      <c r="G13" s="57">
        <f t="shared" si="3"/>
        <v>10</v>
      </c>
      <c r="H13" s="58">
        <f t="shared" si="4"/>
        <v>45014</v>
      </c>
      <c r="I13" s="59">
        <v>1930.8100000000002</v>
      </c>
      <c r="J13" s="28">
        <f t="shared" si="5"/>
        <v>0.15604212694364095</v>
      </c>
      <c r="L13" s="57">
        <f t="shared" si="6"/>
        <v>10</v>
      </c>
      <c r="M13" s="58">
        <f t="shared" si="7"/>
        <v>45014</v>
      </c>
      <c r="N13" s="59">
        <v>10.22394815348215</v>
      </c>
      <c r="O13" s="28">
        <f t="shared" si="8"/>
        <v>0.12971738581003134</v>
      </c>
    </row>
    <row r="14" spans="2:15" x14ac:dyDescent="0.2">
      <c r="B14" s="60">
        <f t="shared" si="0"/>
        <v>11</v>
      </c>
      <c r="C14" s="61">
        <f t="shared" si="1"/>
        <v>45379</v>
      </c>
      <c r="D14" s="62">
        <f>FORECAST(B14,$D$4:$D$13,$B$4:$B$13)</f>
        <v>6691.2240000000002</v>
      </c>
      <c r="E14" s="63">
        <f t="shared" si="2"/>
        <v>-4.7981492389513436E-2</v>
      </c>
      <c r="G14" s="60">
        <f t="shared" si="3"/>
        <v>11</v>
      </c>
      <c r="H14" s="61">
        <f t="shared" si="4"/>
        <v>45379</v>
      </c>
      <c r="I14" s="62">
        <f>FORECAST(G14,$I$4:$I$13,$G$4:$G$13)</f>
        <v>1918.0420000000004</v>
      </c>
      <c r="J14" s="63">
        <f t="shared" si="5"/>
        <v>-6.6127687343652264E-3</v>
      </c>
      <c r="L14" s="60">
        <f t="shared" si="6"/>
        <v>11</v>
      </c>
      <c r="M14" s="61">
        <f t="shared" si="7"/>
        <v>45379</v>
      </c>
      <c r="N14" s="62">
        <f>FORECAST(L14,$N$4:$N$13,$L$4:$L$13)</f>
        <v>10.947190569272564</v>
      </c>
      <c r="O14" s="63">
        <f t="shared" si="8"/>
        <v>7.0740031632895883E-2</v>
      </c>
    </row>
    <row r="15" spans="2:15" x14ac:dyDescent="0.2">
      <c r="B15" s="60">
        <f t="shared" si="0"/>
        <v>12</v>
      </c>
      <c r="C15" s="61">
        <f t="shared" si="1"/>
        <v>45744</v>
      </c>
      <c r="D15" s="62">
        <f t="shared" ref="D15:D18" si="9">FORECAST(B15,$D$4:$D$13,$B$4:$B$13)</f>
        <v>7371.0710909090903</v>
      </c>
      <c r="E15" s="63">
        <f t="shared" si="2"/>
        <v>0.10160279956388996</v>
      </c>
      <c r="G15" s="60">
        <f t="shared" si="3"/>
        <v>12</v>
      </c>
      <c r="H15" s="61">
        <f t="shared" si="4"/>
        <v>45744</v>
      </c>
      <c r="I15" s="62">
        <f t="shared" ref="I15:I18" si="10">FORECAST(G15,$I$4:$I$13,$G$4:$G$13)</f>
        <v>2138.0652727272732</v>
      </c>
      <c r="J15" s="63">
        <f t="shared" si="5"/>
        <v>0.11471243733310987</v>
      </c>
      <c r="L15" s="60">
        <f t="shared" si="6"/>
        <v>12</v>
      </c>
      <c r="M15" s="61">
        <f t="shared" si="7"/>
        <v>45744</v>
      </c>
      <c r="N15" s="62">
        <f t="shared" ref="N15:N18" si="11">FORECAST(L15,$N$4:$N$13,$L$4:$L$13)</f>
        <v>12.389994765580136</v>
      </c>
      <c r="O15" s="63">
        <f t="shared" si="8"/>
        <v>0.13179675526589874</v>
      </c>
    </row>
    <row r="16" spans="2:15" x14ac:dyDescent="0.2">
      <c r="B16" s="60">
        <f t="shared" si="0"/>
        <v>13</v>
      </c>
      <c r="C16" s="61">
        <f t="shared" si="1"/>
        <v>46109</v>
      </c>
      <c r="D16" s="62">
        <f t="shared" si="9"/>
        <v>8050.9181818181823</v>
      </c>
      <c r="E16" s="63">
        <f t="shared" si="2"/>
        <v>9.2231791353574399E-2</v>
      </c>
      <c r="G16" s="60">
        <f t="shared" si="3"/>
        <v>13</v>
      </c>
      <c r="H16" s="61">
        <f t="shared" si="4"/>
        <v>46109</v>
      </c>
      <c r="I16" s="62">
        <f t="shared" si="10"/>
        <v>2358.088545454546</v>
      </c>
      <c r="J16" s="63">
        <f t="shared" si="5"/>
        <v>0.1029076499833026</v>
      </c>
      <c r="L16" s="60">
        <f t="shared" si="6"/>
        <v>13</v>
      </c>
      <c r="M16" s="61">
        <f t="shared" si="7"/>
        <v>46109</v>
      </c>
      <c r="N16" s="62">
        <f t="shared" si="11"/>
        <v>13.832798961887709</v>
      </c>
      <c r="O16" s="63">
        <f t="shared" si="8"/>
        <v>0.11644913687257863</v>
      </c>
    </row>
    <row r="17" spans="2:15" x14ac:dyDescent="0.2">
      <c r="B17" s="60">
        <f t="shared" si="0"/>
        <v>14</v>
      </c>
      <c r="C17" s="61">
        <f t="shared" si="1"/>
        <v>46474</v>
      </c>
      <c r="D17" s="62">
        <f t="shared" si="9"/>
        <v>8730.7652727272725</v>
      </c>
      <c r="E17" s="63">
        <f t="shared" si="2"/>
        <v>8.444342316686626E-2</v>
      </c>
      <c r="G17" s="60">
        <f t="shared" si="3"/>
        <v>14</v>
      </c>
      <c r="H17" s="61">
        <f t="shared" si="4"/>
        <v>46474</v>
      </c>
      <c r="I17" s="62">
        <f t="shared" si="10"/>
        <v>2578.1118181818188</v>
      </c>
      <c r="J17" s="63">
        <f t="shared" si="5"/>
        <v>9.3305772232934236E-2</v>
      </c>
      <c r="L17" s="60">
        <f t="shared" si="6"/>
        <v>14</v>
      </c>
      <c r="M17" s="61">
        <f t="shared" si="7"/>
        <v>46474</v>
      </c>
      <c r="N17" s="62">
        <f t="shared" si="11"/>
        <v>15.275603158195283</v>
      </c>
      <c r="O17" s="63">
        <f t="shared" si="8"/>
        <v>0.10430312768101424</v>
      </c>
    </row>
    <row r="18" spans="2:15" x14ac:dyDescent="0.2">
      <c r="B18" s="60">
        <f t="shared" si="0"/>
        <v>15</v>
      </c>
      <c r="C18" s="61">
        <f t="shared" si="1"/>
        <v>46839</v>
      </c>
      <c r="D18" s="62">
        <f t="shared" si="9"/>
        <v>9410.6123636363645</v>
      </c>
      <c r="E18" s="63">
        <f t="shared" si="2"/>
        <v>7.7867984039470706E-2</v>
      </c>
      <c r="G18" s="60">
        <f t="shared" si="3"/>
        <v>15</v>
      </c>
      <c r="H18" s="61">
        <f t="shared" si="4"/>
        <v>46839</v>
      </c>
      <c r="I18" s="62">
        <f t="shared" si="10"/>
        <v>2798.1350909090916</v>
      </c>
      <c r="J18" s="63">
        <f t="shared" si="5"/>
        <v>8.5342796683830935E-2</v>
      </c>
      <c r="L18" s="60">
        <f t="shared" si="6"/>
        <v>15</v>
      </c>
      <c r="M18" s="61">
        <f t="shared" si="7"/>
        <v>46839</v>
      </c>
      <c r="N18" s="62">
        <f t="shared" si="11"/>
        <v>16.718407354502858</v>
      </c>
      <c r="O18" s="63">
        <f t="shared" si="8"/>
        <v>9.4451536961636551E-2</v>
      </c>
    </row>
  </sheetData>
  <mergeCells count="3">
    <mergeCell ref="B2:E2"/>
    <mergeCell ref="G2:J2"/>
    <mergeCell ref="L2:O2"/>
  </mergeCells>
  <pageMargins left="0.7" right="0.7" top="0.75" bottom="0.75" header="0.3" footer="0.3"/>
  <customProperties>
    <customPr name="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3"/>
  <sheetViews>
    <sheetView showGridLines="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11" sqref="E11"/>
    </sheetView>
  </sheetViews>
  <sheetFormatPr defaultColWidth="10.42578125" defaultRowHeight="12.75" x14ac:dyDescent="0.2"/>
  <cols>
    <col min="1" max="1" width="26.7109375" style="2" bestFit="1" customWidth="1"/>
    <col min="2" max="11" width="11.42578125" style="2" bestFit="1" customWidth="1"/>
    <col min="12" max="16384" width="10.42578125" style="2"/>
  </cols>
  <sheetData>
    <row r="1" spans="1:11" s="1" customFormat="1" x14ac:dyDescent="0.2">
      <c r="A1" s="1" t="s">
        <v>0</v>
      </c>
      <c r="B1" s="1" t="s">
        <v>1</v>
      </c>
      <c r="E1" s="11" t="str">
        <f>IF(B2&lt;&gt;B3, "A NEW VERSION OF THE WORKSHEET IS AVAILABLE", "")</f>
        <v/>
      </c>
      <c r="F1" s="11"/>
      <c r="G1" s="11"/>
      <c r="H1" s="11"/>
      <c r="I1" s="11"/>
      <c r="J1" s="11"/>
      <c r="K1" s="11"/>
    </row>
    <row r="2" spans="1:11" x14ac:dyDescent="0.2">
      <c r="A2" s="1" t="s">
        <v>2</v>
      </c>
      <c r="B2" s="2">
        <v>2.1</v>
      </c>
      <c r="E2" s="12" t="s">
        <v>3</v>
      </c>
      <c r="F2" s="12"/>
      <c r="G2" s="12"/>
      <c r="H2" s="12"/>
      <c r="I2" s="12"/>
      <c r="J2" s="12"/>
      <c r="K2" s="12"/>
    </row>
    <row r="3" spans="1:11" x14ac:dyDescent="0.2">
      <c r="A3" s="1" t="s">
        <v>4</v>
      </c>
      <c r="B3" s="2">
        <v>2.1</v>
      </c>
    </row>
    <row r="4" spans="1:11" x14ac:dyDescent="0.2">
      <c r="A4" s="1"/>
    </row>
    <row r="5" spans="1:11" x14ac:dyDescent="0.2">
      <c r="A5" s="1" t="s">
        <v>5</v>
      </c>
    </row>
    <row r="6" spans="1:11" x14ac:dyDescent="0.2">
      <c r="A6" s="2" t="s">
        <v>6</v>
      </c>
      <c r="B6" s="2">
        <f>IF(B9&gt;0, B9/B8, 0)</f>
        <v>97.327409395973163</v>
      </c>
    </row>
    <row r="7" spans="1:11" x14ac:dyDescent="0.2">
      <c r="A7" s="2" t="s">
        <v>7</v>
      </c>
      <c r="B7" s="3">
        <v>10</v>
      </c>
    </row>
    <row r="8" spans="1:11" x14ac:dyDescent="0.2">
      <c r="A8" s="2" t="s">
        <v>8</v>
      </c>
      <c r="B8" s="3">
        <v>1117.5</v>
      </c>
    </row>
    <row r="9" spans="1:11" x14ac:dyDescent="0.2">
      <c r="A9" s="2" t="s">
        <v>9</v>
      </c>
      <c r="B9" s="3">
        <v>108763.38</v>
      </c>
    </row>
    <row r="15" spans="1:11" x14ac:dyDescent="0.2">
      <c r="A15" s="1" t="s">
        <v>10</v>
      </c>
      <c r="B15" s="2">
        <f>B26+B34</f>
        <v>0</v>
      </c>
      <c r="K15" s="2">
        <f>K17-K18-K20-K21-K22-K23-K19</f>
        <v>1936.1800000000003</v>
      </c>
    </row>
    <row r="16" spans="1:11" s="6" customFormat="1" x14ac:dyDescent="0.2">
      <c r="A16" s="4" t="s">
        <v>11</v>
      </c>
      <c r="B16" s="5">
        <v>41729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x14ac:dyDescent="0.2">
      <c r="A17" s="2" t="s">
        <v>12</v>
      </c>
      <c r="B17" s="3"/>
      <c r="C17" s="3">
        <v>1608.26</v>
      </c>
      <c r="D17" s="3">
        <v>1729.13</v>
      </c>
      <c r="E17" s="3">
        <v>1691.02</v>
      </c>
      <c r="F17" s="3">
        <v>1059.03</v>
      </c>
      <c r="G17" s="3">
        <v>2504.67</v>
      </c>
      <c r="H17" s="3">
        <v>3931.46</v>
      </c>
      <c r="I17" s="3">
        <v>4562.6000000000004</v>
      </c>
      <c r="J17" s="3">
        <v>5406.02</v>
      </c>
      <c r="K17" s="3">
        <v>7028.46</v>
      </c>
    </row>
    <row r="18" spans="1:11" ht="15" x14ac:dyDescent="0.25">
      <c r="A18" s="2" t="s">
        <v>13</v>
      </c>
      <c r="B18" s="7"/>
      <c r="C18" s="7">
        <v>423</v>
      </c>
      <c r="D18" s="7">
        <v>431.05</v>
      </c>
      <c r="E18" s="7">
        <v>362.2</v>
      </c>
      <c r="F18" s="7">
        <v>229.35</v>
      </c>
      <c r="G18" s="7">
        <v>580.51</v>
      </c>
      <c r="H18" s="7">
        <v>930.46</v>
      </c>
      <c r="I18" s="7">
        <v>936.88</v>
      </c>
      <c r="J18" s="7">
        <v>1119.04</v>
      </c>
      <c r="K18" s="7">
        <v>1496.41</v>
      </c>
    </row>
    <row r="19" spans="1:11" ht="15" x14ac:dyDescent="0.25">
      <c r="A19" s="2" t="s">
        <v>14</v>
      </c>
      <c r="B19" s="7"/>
      <c r="C19" s="7">
        <v>-0.1</v>
      </c>
      <c r="D19" s="7">
        <v>5.15</v>
      </c>
      <c r="E19" s="7">
        <v>-2.2599999999999998</v>
      </c>
      <c r="F19" s="7"/>
      <c r="G19" s="7"/>
      <c r="H19" s="7"/>
      <c r="I19" s="7">
        <v>14.87</v>
      </c>
      <c r="J19" s="7">
        <v>0.52</v>
      </c>
      <c r="K19" s="7">
        <v>19.36</v>
      </c>
    </row>
    <row r="20" spans="1:11" x14ac:dyDescent="0.2">
      <c r="A20" s="2" t="s">
        <v>15</v>
      </c>
      <c r="B20" s="3"/>
      <c r="C20" s="3">
        <v>40.9</v>
      </c>
      <c r="D20" s="3">
        <v>41.36</v>
      </c>
      <c r="E20" s="3">
        <v>46.06</v>
      </c>
      <c r="F20" s="3">
        <v>22.72</v>
      </c>
      <c r="G20" s="3">
        <v>51.37</v>
      </c>
      <c r="H20" s="3">
        <v>62.67</v>
      </c>
      <c r="I20" s="3">
        <v>69.040000000000006</v>
      </c>
      <c r="J20" s="3">
        <v>77.540000000000006</v>
      </c>
      <c r="K20" s="3">
        <v>115.03</v>
      </c>
    </row>
    <row r="21" spans="1:11" x14ac:dyDescent="0.2">
      <c r="A21" s="2" t="s">
        <v>16</v>
      </c>
      <c r="B21" s="3"/>
      <c r="C21" s="3">
        <v>35.04</v>
      </c>
      <c r="D21" s="3">
        <v>59.86</v>
      </c>
      <c r="E21" s="3">
        <v>37.880000000000003</v>
      </c>
      <c r="F21" s="3">
        <v>295.52</v>
      </c>
      <c r="G21" s="3">
        <v>631.67999999999995</v>
      </c>
      <c r="H21" s="3">
        <v>921.31</v>
      </c>
      <c r="I21" s="3">
        <v>1120.8599999999999</v>
      </c>
      <c r="J21" s="3">
        <v>1271.08</v>
      </c>
      <c r="K21" s="3">
        <v>1696.97</v>
      </c>
    </row>
    <row r="22" spans="1:11" x14ac:dyDescent="0.2">
      <c r="A22" s="2" t="s">
        <v>17</v>
      </c>
      <c r="B22" s="3"/>
      <c r="C22" s="3">
        <v>354.09</v>
      </c>
      <c r="D22" s="3">
        <v>423.55</v>
      </c>
      <c r="E22" s="3">
        <v>441.15</v>
      </c>
      <c r="F22" s="3">
        <v>230.13</v>
      </c>
      <c r="G22" s="3">
        <v>589.64</v>
      </c>
      <c r="H22" s="3">
        <v>761.34</v>
      </c>
      <c r="I22" s="3">
        <v>812.68</v>
      </c>
      <c r="J22" s="3">
        <v>940.95</v>
      </c>
      <c r="K22" s="3">
        <v>1184.04</v>
      </c>
    </row>
    <row r="23" spans="1:11" x14ac:dyDescent="0.2">
      <c r="A23" s="2" t="s">
        <v>18</v>
      </c>
      <c r="B23" s="3"/>
      <c r="C23" s="3">
        <v>593.33000000000004</v>
      </c>
      <c r="D23" s="3">
        <v>647.35</v>
      </c>
      <c r="E23" s="3">
        <v>629.63</v>
      </c>
      <c r="F23" s="3">
        <v>153</v>
      </c>
      <c r="G23" s="3">
        <v>208</v>
      </c>
      <c r="H23" s="3">
        <v>290</v>
      </c>
      <c r="I23" s="3">
        <v>628.69000000000005</v>
      </c>
      <c r="J23" s="3">
        <v>737.66</v>
      </c>
      <c r="K23" s="3">
        <v>580.47</v>
      </c>
    </row>
    <row r="24" spans="1:11" x14ac:dyDescent="0.2">
      <c r="A24" s="2" t="s">
        <v>19</v>
      </c>
      <c r="B24" s="3"/>
      <c r="C24" s="3">
        <v>20.88</v>
      </c>
      <c r="D24" s="3">
        <v>17.71</v>
      </c>
      <c r="E24" s="3">
        <v>15.78</v>
      </c>
      <c r="F24" s="3">
        <v>34.659999999999997</v>
      </c>
      <c r="G24" s="3">
        <v>39.369999999999997</v>
      </c>
      <c r="H24" s="3">
        <v>20.059999999999999</v>
      </c>
      <c r="I24" s="3">
        <v>-231.21</v>
      </c>
      <c r="J24" s="3">
        <v>-231.85</v>
      </c>
      <c r="K24" s="3">
        <v>126.1</v>
      </c>
    </row>
    <row r="25" spans="1:11" x14ac:dyDescent="0.2">
      <c r="A25" s="2" t="s">
        <v>20</v>
      </c>
      <c r="B25" s="3"/>
      <c r="C25" s="3">
        <v>58.97</v>
      </c>
      <c r="D25" s="3">
        <v>65.19</v>
      </c>
      <c r="E25" s="3">
        <v>56.17</v>
      </c>
      <c r="F25" s="3">
        <v>48.01</v>
      </c>
      <c r="G25" s="3">
        <v>-119.2</v>
      </c>
      <c r="H25" s="3">
        <v>115.27</v>
      </c>
      <c r="I25" s="3">
        <v>139.24</v>
      </c>
      <c r="J25" s="3">
        <v>178.07</v>
      </c>
      <c r="K25" s="3">
        <v>82.01</v>
      </c>
    </row>
    <row r="26" spans="1:11" x14ac:dyDescent="0.2">
      <c r="A26" s="2" t="s">
        <v>21</v>
      </c>
      <c r="B26" s="3"/>
      <c r="C26" s="3">
        <v>95.51</v>
      </c>
      <c r="D26" s="3">
        <v>94.42</v>
      </c>
      <c r="E26" s="3">
        <v>102.64</v>
      </c>
      <c r="F26" s="3">
        <v>45.64</v>
      </c>
      <c r="G26" s="3">
        <v>174.09</v>
      </c>
      <c r="H26" s="3">
        <v>221.12</v>
      </c>
      <c r="I26" s="3">
        <v>232.19</v>
      </c>
      <c r="J26" s="3">
        <v>244.98</v>
      </c>
      <c r="K26" s="3">
        <v>359.42</v>
      </c>
    </row>
    <row r="27" spans="1:11" ht="15" x14ac:dyDescent="0.25">
      <c r="A27" s="2" t="s">
        <v>22</v>
      </c>
      <c r="B27" s="3"/>
      <c r="C27" s="3">
        <v>99.68</v>
      </c>
      <c r="D27" s="3">
        <v>99.37</v>
      </c>
      <c r="E27" s="3">
        <v>101.27</v>
      </c>
      <c r="F27" s="3">
        <v>83.24</v>
      </c>
      <c r="G27" s="3">
        <v>179.46</v>
      </c>
      <c r="H27" s="3">
        <v>100.87</v>
      </c>
      <c r="I27" s="3">
        <v>83.86</v>
      </c>
      <c r="J27" s="7">
        <v>59.89</v>
      </c>
      <c r="K27" s="7">
        <v>165.02</v>
      </c>
    </row>
    <row r="28" spans="1:11" x14ac:dyDescent="0.2">
      <c r="A28" s="2" t="s">
        <v>23</v>
      </c>
      <c r="B28" s="3"/>
      <c r="C28" s="3">
        <v>4.7</v>
      </c>
      <c r="D28" s="3">
        <v>-15.2</v>
      </c>
      <c r="E28" s="3">
        <v>8.32</v>
      </c>
      <c r="F28" s="3">
        <v>12.78</v>
      </c>
      <c r="G28" s="3">
        <v>-68.650000000000006</v>
      </c>
      <c r="H28" s="3">
        <v>738.9</v>
      </c>
      <c r="I28" s="3">
        <v>1063.72</v>
      </c>
      <c r="J28" s="3">
        <v>1365.32</v>
      </c>
      <c r="K28" s="3">
        <v>1406.37</v>
      </c>
    </row>
    <row r="29" spans="1:11" x14ac:dyDescent="0.2">
      <c r="A29" s="2" t="s">
        <v>24</v>
      </c>
      <c r="B29" s="3"/>
      <c r="C29" s="3">
        <v>-11.09</v>
      </c>
      <c r="D29" s="3">
        <v>9.9499999999999993</v>
      </c>
      <c r="E29" s="3">
        <v>8.51</v>
      </c>
      <c r="F29" s="3">
        <v>-0.13</v>
      </c>
      <c r="G29" s="3">
        <v>45.85</v>
      </c>
      <c r="H29" s="3">
        <v>133.85</v>
      </c>
      <c r="I29" s="3">
        <v>-39.79</v>
      </c>
      <c r="J29" s="3">
        <v>307.68</v>
      </c>
      <c r="K29" s="3">
        <v>330.49</v>
      </c>
    </row>
    <row r="30" spans="1:11" x14ac:dyDescent="0.2">
      <c r="A30" s="2" t="s">
        <v>25</v>
      </c>
      <c r="B30" s="3"/>
      <c r="C30" s="3">
        <v>15.79</v>
      </c>
      <c r="D30" s="3">
        <v>-25.15</v>
      </c>
      <c r="E30" s="3">
        <v>-3.01</v>
      </c>
      <c r="F30" s="3">
        <v>58.99</v>
      </c>
      <c r="G30" s="3">
        <v>-137.55000000000001</v>
      </c>
      <c r="H30" s="3">
        <v>605.04999999999995</v>
      </c>
      <c r="I30" s="3">
        <v>1103.51</v>
      </c>
      <c r="J30" s="3">
        <v>1057.6400000000001</v>
      </c>
      <c r="K30" s="3">
        <v>1075.8800000000001</v>
      </c>
    </row>
    <row r="31" spans="1:11" x14ac:dyDescent="0.2">
      <c r="A31" s="2" t="s">
        <v>26</v>
      </c>
      <c r="B31" s="3"/>
      <c r="C31" s="3"/>
      <c r="D31" s="3"/>
      <c r="E31" s="3"/>
      <c r="F31" s="3"/>
      <c r="G31" s="3"/>
      <c r="H31" s="3"/>
      <c r="I31" s="3">
        <v>97.09</v>
      </c>
      <c r="J31" s="3">
        <v>145.79</v>
      </c>
      <c r="K31" s="3">
        <v>145.82</v>
      </c>
    </row>
    <row r="32" spans="1:11" x14ac:dyDescent="0.2">
      <c r="A32" s="2" t="s">
        <v>27</v>
      </c>
      <c r="B32" s="8" t="e">
        <f>B29/B28</f>
        <v>#DIV/0!</v>
      </c>
      <c r="C32" s="8">
        <f t="shared" ref="C32:K32" si="0">C29/C28</f>
        <v>-2.3595744680851061</v>
      </c>
      <c r="D32" s="8">
        <f t="shared" si="0"/>
        <v>-0.65460526315789469</v>
      </c>
      <c r="E32" s="8">
        <f t="shared" si="0"/>
        <v>1.0228365384615383</v>
      </c>
      <c r="F32" s="8">
        <f t="shared" si="0"/>
        <v>-1.0172143974960877E-2</v>
      </c>
      <c r="G32" s="8">
        <f t="shared" si="0"/>
        <v>-0.66788055353241071</v>
      </c>
      <c r="H32" s="8">
        <f t="shared" si="0"/>
        <v>0.18114765191500878</v>
      </c>
      <c r="I32" s="8">
        <f t="shared" si="0"/>
        <v>-3.7406460346707776E-2</v>
      </c>
      <c r="J32" s="8">
        <f t="shared" si="0"/>
        <v>0.22535376322034398</v>
      </c>
      <c r="K32" s="8">
        <f t="shared" si="0"/>
        <v>0.23499505819947811</v>
      </c>
    </row>
    <row r="34" spans="1:11" x14ac:dyDescent="0.2">
      <c r="A34" s="2" t="s">
        <v>28</v>
      </c>
      <c r="B34" s="2">
        <f>+B30+B29+B27+B26</f>
        <v>0</v>
      </c>
      <c r="C34" s="2">
        <f t="shared" ref="C34:K34" si="1">+C30+C29+C27+C26</f>
        <v>199.89000000000001</v>
      </c>
      <c r="D34" s="2">
        <f t="shared" si="1"/>
        <v>178.59</v>
      </c>
      <c r="E34" s="2">
        <f t="shared" si="1"/>
        <v>209.41</v>
      </c>
      <c r="F34" s="2">
        <f t="shared" si="1"/>
        <v>187.74</v>
      </c>
      <c r="G34" s="2">
        <f t="shared" si="1"/>
        <v>261.85000000000002</v>
      </c>
      <c r="H34" s="2">
        <f t="shared" si="1"/>
        <v>1060.8899999999999</v>
      </c>
      <c r="I34" s="2">
        <f t="shared" si="1"/>
        <v>1379.77</v>
      </c>
      <c r="J34" s="2">
        <f t="shared" si="1"/>
        <v>1670.1900000000003</v>
      </c>
      <c r="K34" s="2">
        <f t="shared" si="1"/>
        <v>1930.8100000000002</v>
      </c>
    </row>
    <row r="40" spans="1:11" x14ac:dyDescent="0.2">
      <c r="A40" s="1" t="s">
        <v>29</v>
      </c>
    </row>
    <row r="41" spans="1:11" s="6" customFormat="1" x14ac:dyDescent="0.2">
      <c r="A41" s="4" t="s">
        <v>11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x14ac:dyDescent="0.2">
      <c r="A42" s="2" t="s">
        <v>12</v>
      </c>
      <c r="B42" s="3">
        <v>1284.99</v>
      </c>
      <c r="C42" s="3">
        <v>1363.16</v>
      </c>
      <c r="D42" s="3">
        <v>1334.97</v>
      </c>
      <c r="E42" s="3">
        <v>1422.9</v>
      </c>
      <c r="F42" s="3">
        <v>1542.95</v>
      </c>
      <c r="G42" s="3">
        <v>1707.46</v>
      </c>
      <c r="H42" s="3">
        <v>1868.31</v>
      </c>
      <c r="I42" s="3">
        <v>1909.74</v>
      </c>
      <c r="J42" s="3">
        <v>2027.57</v>
      </c>
      <c r="K42" s="3">
        <v>2135.4699999999998</v>
      </c>
    </row>
    <row r="43" spans="1:11" x14ac:dyDescent="0.2">
      <c r="A43" s="2" t="s">
        <v>30</v>
      </c>
      <c r="B43" s="3">
        <v>947.61</v>
      </c>
      <c r="C43" s="3">
        <v>975.81</v>
      </c>
      <c r="D43" s="3">
        <v>949.11</v>
      </c>
      <c r="E43" s="3">
        <v>1041.3699999999999</v>
      </c>
      <c r="F43" s="3">
        <v>1155.54</v>
      </c>
      <c r="G43" s="3">
        <v>1256.92</v>
      </c>
      <c r="H43" s="3">
        <v>1369.18</v>
      </c>
      <c r="I43" s="3">
        <v>1398.12</v>
      </c>
      <c r="J43" s="3">
        <v>1504.66</v>
      </c>
      <c r="K43" s="3">
        <v>1560.32</v>
      </c>
    </row>
    <row r="44" spans="1:11" x14ac:dyDescent="0.2">
      <c r="A44" s="2" t="s">
        <v>20</v>
      </c>
      <c r="B44" s="3">
        <v>41.32</v>
      </c>
      <c r="C44" s="3">
        <v>45.48</v>
      </c>
      <c r="D44" s="3">
        <v>46.02</v>
      </c>
      <c r="E44" s="3">
        <v>45.25</v>
      </c>
      <c r="F44" s="3">
        <v>34.68</v>
      </c>
      <c r="G44" s="3">
        <v>40.840000000000003</v>
      </c>
      <c r="H44" s="3">
        <v>-40.33</v>
      </c>
      <c r="I44" s="3">
        <v>46.92</v>
      </c>
      <c r="J44" s="3">
        <v>36.51</v>
      </c>
      <c r="K44" s="3">
        <v>32.9</v>
      </c>
    </row>
    <row r="45" spans="1:11" x14ac:dyDescent="0.2">
      <c r="A45" s="2" t="s">
        <v>21</v>
      </c>
      <c r="B45" s="3">
        <v>55.82</v>
      </c>
      <c r="C45" s="3">
        <v>57.88</v>
      </c>
      <c r="D45" s="3">
        <v>60.96</v>
      </c>
      <c r="E45" s="3">
        <v>70.319999999999993</v>
      </c>
      <c r="F45" s="3">
        <v>76.900000000000006</v>
      </c>
      <c r="G45" s="3">
        <v>84.15</v>
      </c>
      <c r="H45" s="3">
        <v>97.54</v>
      </c>
      <c r="I45" s="3">
        <v>100.83</v>
      </c>
      <c r="J45" s="3">
        <v>104.14</v>
      </c>
      <c r="K45" s="3">
        <v>108.1</v>
      </c>
    </row>
    <row r="46" spans="1:11" ht="15" x14ac:dyDescent="0.25">
      <c r="A46" s="2" t="s">
        <v>22</v>
      </c>
      <c r="B46" s="7">
        <v>19.39</v>
      </c>
      <c r="C46" s="7">
        <v>8.5299999999999994</v>
      </c>
      <c r="D46" s="7">
        <v>11.24</v>
      </c>
      <c r="E46" s="7">
        <v>20.73</v>
      </c>
      <c r="F46" s="7">
        <v>23.88</v>
      </c>
      <c r="G46" s="7">
        <v>33.54</v>
      </c>
      <c r="H46" s="7">
        <v>52.39</v>
      </c>
      <c r="I46" s="7">
        <v>55.21</v>
      </c>
      <c r="J46" s="7">
        <v>54.85</v>
      </c>
      <c r="K46" s="7">
        <v>53.92</v>
      </c>
    </row>
    <row r="47" spans="1:11" x14ac:dyDescent="0.2">
      <c r="A47" s="2" t="s">
        <v>23</v>
      </c>
      <c r="B47" s="3">
        <v>303.49</v>
      </c>
      <c r="C47" s="3">
        <v>366.42</v>
      </c>
      <c r="D47" s="3">
        <v>359.68</v>
      </c>
      <c r="E47" s="3">
        <v>335.73</v>
      </c>
      <c r="F47" s="3">
        <v>321.31</v>
      </c>
      <c r="G47" s="3">
        <v>373.69</v>
      </c>
      <c r="H47" s="3">
        <v>308.87</v>
      </c>
      <c r="I47" s="3">
        <v>402.5</v>
      </c>
      <c r="J47" s="3">
        <v>400.43</v>
      </c>
      <c r="K47" s="3">
        <v>446.03</v>
      </c>
    </row>
    <row r="48" spans="1:11" x14ac:dyDescent="0.2">
      <c r="A48" s="2" t="s">
        <v>24</v>
      </c>
      <c r="B48" s="3">
        <v>63.41</v>
      </c>
      <c r="C48" s="3">
        <v>89.74</v>
      </c>
      <c r="D48" s="3">
        <v>70.34</v>
      </c>
      <c r="E48" s="3">
        <v>84.19</v>
      </c>
      <c r="F48" s="3">
        <v>85.04</v>
      </c>
      <c r="G48" s="3">
        <v>91.88</v>
      </c>
      <c r="H48" s="3">
        <v>70.069999999999993</v>
      </c>
      <c r="I48" s="3">
        <v>83.5</v>
      </c>
      <c r="J48" s="3">
        <v>92.46</v>
      </c>
      <c r="K48" s="3">
        <v>-45.27</v>
      </c>
    </row>
    <row r="49" spans="1:11" x14ac:dyDescent="0.2">
      <c r="A49" s="2" t="s">
        <v>25</v>
      </c>
      <c r="B49" s="3">
        <v>240.08</v>
      </c>
      <c r="C49" s="3">
        <v>276.68</v>
      </c>
      <c r="D49" s="3">
        <v>289.33999999999997</v>
      </c>
      <c r="E49" s="3">
        <v>251.54</v>
      </c>
      <c r="F49" s="3">
        <v>236.27</v>
      </c>
      <c r="G49" s="3">
        <v>281.81</v>
      </c>
      <c r="H49" s="3">
        <v>238.8</v>
      </c>
      <c r="I49" s="3">
        <v>319</v>
      </c>
      <c r="J49" s="3">
        <v>307.97000000000003</v>
      </c>
      <c r="K49" s="3">
        <v>491.3</v>
      </c>
    </row>
    <row r="50" spans="1:11" x14ac:dyDescent="0.2">
      <c r="A50" s="2" t="s">
        <v>31</v>
      </c>
      <c r="B50" s="3">
        <v>337.38</v>
      </c>
      <c r="C50" s="3">
        <v>387.35</v>
      </c>
      <c r="D50" s="3">
        <v>385.86</v>
      </c>
      <c r="E50" s="3">
        <v>381.53</v>
      </c>
      <c r="F50" s="3">
        <v>387.41</v>
      </c>
      <c r="G50" s="3">
        <v>450.54</v>
      </c>
      <c r="H50" s="3">
        <v>499.13</v>
      </c>
      <c r="I50" s="3">
        <v>511.62</v>
      </c>
      <c r="J50" s="3">
        <v>522.91</v>
      </c>
      <c r="K50" s="3">
        <v>575.15</v>
      </c>
    </row>
    <row r="51" spans="1:11" x14ac:dyDescent="0.2">
      <c r="A51" s="2" t="s">
        <v>28</v>
      </c>
      <c r="B51" s="2">
        <f>B49+B48+B46+B45</f>
        <v>378.7</v>
      </c>
      <c r="C51" s="2">
        <f t="shared" ref="C51:K51" si="2">C49+C48+C46+C45</f>
        <v>432.83</v>
      </c>
      <c r="D51" s="2">
        <f t="shared" si="2"/>
        <v>431.87999999999994</v>
      </c>
      <c r="E51" s="2">
        <f t="shared" si="2"/>
        <v>426.78000000000003</v>
      </c>
      <c r="F51" s="2">
        <f t="shared" si="2"/>
        <v>422.09000000000003</v>
      </c>
      <c r="G51" s="2">
        <f t="shared" si="2"/>
        <v>491.38</v>
      </c>
      <c r="H51" s="2">
        <f t="shared" si="2"/>
        <v>458.8</v>
      </c>
      <c r="I51" s="2">
        <f t="shared" si="2"/>
        <v>558.54</v>
      </c>
      <c r="J51" s="2">
        <f t="shared" si="2"/>
        <v>559.42000000000007</v>
      </c>
      <c r="K51" s="2">
        <f t="shared" si="2"/>
        <v>608.05000000000007</v>
      </c>
    </row>
    <row r="55" spans="1:11" x14ac:dyDescent="0.2">
      <c r="A55" s="1" t="s">
        <v>32</v>
      </c>
    </row>
    <row r="56" spans="1:11" s="6" customFormat="1" x14ac:dyDescent="0.2">
      <c r="A56" s="4" t="s">
        <v>11</v>
      </c>
      <c r="B56" s="5">
        <v>41729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">
      <c r="A57" s="2" t="s">
        <v>33</v>
      </c>
      <c r="B57" s="3"/>
      <c r="C57" s="3">
        <v>537.24</v>
      </c>
      <c r="D57" s="3">
        <v>537.24</v>
      </c>
      <c r="E57" s="3">
        <v>537.24</v>
      </c>
      <c r="F57" s="3">
        <v>537.24</v>
      </c>
      <c r="G57" s="3">
        <v>965.95</v>
      </c>
      <c r="H57" s="3">
        <v>969.61</v>
      </c>
      <c r="I57" s="3">
        <v>970.92</v>
      </c>
      <c r="J57" s="3">
        <v>971.91</v>
      </c>
      <c r="K57" s="3">
        <v>972.14</v>
      </c>
    </row>
    <row r="58" spans="1:11" x14ac:dyDescent="0.2">
      <c r="A58" s="2" t="s">
        <v>34</v>
      </c>
      <c r="B58" s="3"/>
      <c r="C58" s="3">
        <v>655.14</v>
      </c>
      <c r="D58" s="3">
        <v>626.66999999999996</v>
      </c>
      <c r="E58" s="3">
        <v>425.95</v>
      </c>
      <c r="F58" s="3">
        <v>2015.91</v>
      </c>
      <c r="G58" s="3">
        <v>4672.7299999999996</v>
      </c>
      <c r="H58" s="3">
        <v>5312.86</v>
      </c>
      <c r="I58" s="3">
        <v>6438.67</v>
      </c>
      <c r="J58" s="3">
        <v>7436.23</v>
      </c>
      <c r="K58" s="3">
        <v>8408.73</v>
      </c>
    </row>
    <row r="59" spans="1:11" ht="15" x14ac:dyDescent="0.25">
      <c r="A59" s="2" t="s">
        <v>35</v>
      </c>
      <c r="B59" s="7"/>
      <c r="C59" s="7">
        <v>874.09</v>
      </c>
      <c r="D59" s="7">
        <v>980.52</v>
      </c>
      <c r="E59" s="7">
        <v>1002.75</v>
      </c>
      <c r="F59" s="7">
        <v>874.74</v>
      </c>
      <c r="G59" s="7">
        <v>1101.4100000000001</v>
      </c>
      <c r="H59" s="7">
        <v>913.38</v>
      </c>
      <c r="I59" s="7">
        <v>688.96</v>
      </c>
      <c r="J59" s="7">
        <v>1298.95</v>
      </c>
      <c r="K59" s="7">
        <v>3010.29</v>
      </c>
    </row>
    <row r="60" spans="1:11" x14ac:dyDescent="0.2">
      <c r="A60" s="2" t="s">
        <v>36</v>
      </c>
      <c r="B60" s="3"/>
      <c r="C60" s="3">
        <v>1079.6300000000001</v>
      </c>
      <c r="D60" s="3">
        <v>1157.0899999999999</v>
      </c>
      <c r="E60" s="3">
        <v>1388.6</v>
      </c>
      <c r="F60" s="3">
        <v>545.77</v>
      </c>
      <c r="G60" s="3">
        <v>1803.37</v>
      </c>
      <c r="H60" s="3">
        <v>1993.28</v>
      </c>
      <c r="I60" s="3">
        <v>2003.3</v>
      </c>
      <c r="J60" s="3">
        <v>2292.85</v>
      </c>
      <c r="K60" s="3">
        <v>2795.28</v>
      </c>
    </row>
    <row r="61" spans="1:11" s="1" customFormat="1" x14ac:dyDescent="0.2">
      <c r="A61" s="1" t="s">
        <v>37</v>
      </c>
      <c r="B61" s="3"/>
      <c r="C61" s="3">
        <v>3146.1</v>
      </c>
      <c r="D61" s="3">
        <v>3301.52</v>
      </c>
      <c r="E61" s="3">
        <v>3354.54</v>
      </c>
      <c r="F61" s="3">
        <v>3973.66</v>
      </c>
      <c r="G61" s="3">
        <v>8543.4599999999991</v>
      </c>
      <c r="H61" s="3">
        <v>9189.1299999999992</v>
      </c>
      <c r="I61" s="3">
        <v>10101.85</v>
      </c>
      <c r="J61" s="3">
        <v>11999.94</v>
      </c>
      <c r="K61" s="3">
        <v>15186.44</v>
      </c>
    </row>
    <row r="62" spans="1:11" x14ac:dyDescent="0.2">
      <c r="A62" s="2" t="s">
        <v>38</v>
      </c>
      <c r="B62" s="3"/>
      <c r="C62" s="3">
        <v>2244.2399999999998</v>
      </c>
      <c r="D62" s="3">
        <v>2227.1799999999998</v>
      </c>
      <c r="E62" s="3">
        <v>2192.37</v>
      </c>
      <c r="F62" s="3">
        <v>850.95</v>
      </c>
      <c r="G62" s="3">
        <v>6536.38</v>
      </c>
      <c r="H62" s="3">
        <v>7017.58</v>
      </c>
      <c r="I62" s="3">
        <v>7038.7</v>
      </c>
      <c r="J62" s="3">
        <v>8783.69</v>
      </c>
      <c r="K62" s="3">
        <v>11501.59</v>
      </c>
    </row>
    <row r="63" spans="1:11" x14ac:dyDescent="0.2">
      <c r="A63" s="2" t="s">
        <v>39</v>
      </c>
      <c r="B63" s="3"/>
      <c r="C63" s="3">
        <v>46.14</v>
      </c>
      <c r="D63" s="3">
        <v>38.299999999999997</v>
      </c>
      <c r="E63" s="3">
        <v>87.02</v>
      </c>
      <c r="F63" s="3">
        <v>27.55</v>
      </c>
      <c r="G63" s="3">
        <v>26.93</v>
      </c>
      <c r="H63" s="3">
        <v>151.12</v>
      </c>
      <c r="I63" s="3">
        <v>252.43</v>
      </c>
      <c r="J63" s="3">
        <v>553.04</v>
      </c>
      <c r="K63" s="3">
        <v>900.72</v>
      </c>
    </row>
    <row r="64" spans="1:11" ht="15" x14ac:dyDescent="0.25">
      <c r="A64" s="2" t="s">
        <v>40</v>
      </c>
      <c r="B64" s="3"/>
      <c r="C64" s="7"/>
      <c r="D64" s="3"/>
      <c r="E64" s="3">
        <v>0.51</v>
      </c>
      <c r="F64" s="3">
        <v>2182.06</v>
      </c>
      <c r="G64" s="3">
        <v>0.51</v>
      </c>
      <c r="H64" s="3">
        <v>0.51</v>
      </c>
      <c r="I64" s="3">
        <v>0.51</v>
      </c>
      <c r="J64" s="3">
        <v>2.12</v>
      </c>
      <c r="K64" s="3">
        <v>2.89</v>
      </c>
    </row>
    <row r="65" spans="1:11" x14ac:dyDescent="0.2">
      <c r="A65" s="2" t="s">
        <v>41</v>
      </c>
      <c r="B65" s="3"/>
      <c r="C65" s="3">
        <v>855.72</v>
      </c>
      <c r="D65" s="3">
        <v>1036.04</v>
      </c>
      <c r="E65" s="3">
        <v>1074.6400000000001</v>
      </c>
      <c r="F65" s="3">
        <v>913.1</v>
      </c>
      <c r="G65" s="3">
        <v>1979.64</v>
      </c>
      <c r="H65" s="3">
        <v>2019.92</v>
      </c>
      <c r="I65" s="3">
        <v>2810.21</v>
      </c>
      <c r="J65" s="3">
        <v>2661.09</v>
      </c>
      <c r="K65" s="3">
        <v>2781.24</v>
      </c>
    </row>
    <row r="66" spans="1:11" s="1" customFormat="1" x14ac:dyDescent="0.2">
      <c r="A66" s="1" t="s">
        <v>37</v>
      </c>
      <c r="B66" s="3"/>
      <c r="C66" s="3">
        <v>3146.1</v>
      </c>
      <c r="D66" s="3">
        <v>3301.52</v>
      </c>
      <c r="E66" s="3">
        <v>3354.54</v>
      </c>
      <c r="F66" s="3">
        <v>3973.66</v>
      </c>
      <c r="G66" s="3">
        <v>8543.4599999999991</v>
      </c>
      <c r="H66" s="3">
        <v>9189.1299999999992</v>
      </c>
      <c r="I66" s="3">
        <v>10101.85</v>
      </c>
      <c r="J66" s="3">
        <v>11999.94</v>
      </c>
      <c r="K66" s="3">
        <v>15186.44</v>
      </c>
    </row>
    <row r="67" spans="1:11" x14ac:dyDescent="0.2">
      <c r="A67" s="2" t="s">
        <v>42</v>
      </c>
      <c r="B67" s="3"/>
      <c r="C67" s="3">
        <v>234.82</v>
      </c>
      <c r="D67" s="3">
        <v>279.56</v>
      </c>
      <c r="E67" s="3">
        <v>362.61</v>
      </c>
      <c r="F67" s="3">
        <v>96.09</v>
      </c>
      <c r="G67" s="3">
        <v>365.89</v>
      </c>
      <c r="H67" s="3">
        <v>385.36</v>
      </c>
      <c r="I67" s="3">
        <v>336.12</v>
      </c>
      <c r="J67" s="3">
        <v>462.69</v>
      </c>
      <c r="K67" s="3">
        <v>687.31</v>
      </c>
    </row>
    <row r="68" spans="1:11" ht="15" x14ac:dyDescent="0.25">
      <c r="A68" s="2" t="s">
        <v>43</v>
      </c>
      <c r="B68" s="7"/>
      <c r="C68" s="7">
        <v>23.12</v>
      </c>
      <c r="D68" s="7">
        <v>28.27</v>
      </c>
      <c r="E68" s="7">
        <v>26.01</v>
      </c>
      <c r="F68" s="7">
        <v>26.8</v>
      </c>
      <c r="G68" s="7">
        <v>53.8</v>
      </c>
      <c r="H68" s="7">
        <v>61.36</v>
      </c>
      <c r="I68" s="7">
        <v>76.23</v>
      </c>
      <c r="J68" s="7">
        <v>79.84</v>
      </c>
      <c r="K68" s="7">
        <v>106.21</v>
      </c>
    </row>
    <row r="69" spans="1:11" x14ac:dyDescent="0.2">
      <c r="A69" s="2" t="s">
        <v>44</v>
      </c>
      <c r="B69" s="3"/>
      <c r="C69" s="3">
        <v>22.75</v>
      </c>
      <c r="D69" s="3">
        <v>89.97</v>
      </c>
      <c r="E69" s="3">
        <v>11.64</v>
      </c>
      <c r="F69" s="3">
        <v>119.57</v>
      </c>
      <c r="G69" s="3">
        <v>652.91999999999996</v>
      </c>
      <c r="H69" s="3">
        <v>499.31</v>
      </c>
      <c r="I69" s="3">
        <v>1468.07</v>
      </c>
      <c r="J69" s="3">
        <v>1099.27</v>
      </c>
      <c r="K69" s="3">
        <v>681.89</v>
      </c>
    </row>
    <row r="70" spans="1:11" x14ac:dyDescent="0.2">
      <c r="A70" s="2" t="s">
        <v>45</v>
      </c>
      <c r="B70" s="3"/>
      <c r="C70" s="3">
        <v>537244328</v>
      </c>
      <c r="D70" s="3">
        <v>537244328</v>
      </c>
      <c r="E70" s="3">
        <v>537244328</v>
      </c>
      <c r="F70" s="3">
        <v>537244328</v>
      </c>
      <c r="G70" s="3">
        <v>965945006</v>
      </c>
      <c r="H70" s="3">
        <v>969613455</v>
      </c>
      <c r="I70" s="3">
        <v>970922825</v>
      </c>
      <c r="J70" s="3">
        <v>971912408</v>
      </c>
      <c r="K70" s="3">
        <v>972142053</v>
      </c>
    </row>
    <row r="71" spans="1:11" ht="16.5" x14ac:dyDescent="0.3">
      <c r="A71" s="2" t="s">
        <v>46</v>
      </c>
      <c r="B71" s="9"/>
      <c r="C71" s="9"/>
      <c r="G71" s="9"/>
      <c r="H71" s="9"/>
    </row>
    <row r="72" spans="1:11" x14ac:dyDescent="0.2">
      <c r="A72" s="2" t="s">
        <v>47</v>
      </c>
      <c r="B72" s="3"/>
      <c r="C72" s="3">
        <v>10</v>
      </c>
      <c r="D72" s="3">
        <v>10</v>
      </c>
      <c r="E72" s="3">
        <v>10</v>
      </c>
      <c r="F72" s="3">
        <v>10</v>
      </c>
      <c r="G72" s="3">
        <v>10</v>
      </c>
      <c r="H72" s="3">
        <v>10</v>
      </c>
      <c r="I72" s="3">
        <v>10</v>
      </c>
      <c r="J72" s="3">
        <v>10</v>
      </c>
      <c r="K72" s="3">
        <v>10</v>
      </c>
    </row>
    <row r="73" spans="1:11" x14ac:dyDescent="0.2">
      <c r="H73" s="2">
        <f>H62-G62+H45</f>
        <v>578.73999999999978</v>
      </c>
      <c r="I73" s="2">
        <f t="shared" ref="I73:K73" si="3">I62-H62+I45</f>
        <v>121.94999999999989</v>
      </c>
      <c r="J73" s="2">
        <f t="shared" si="3"/>
        <v>1849.1300000000008</v>
      </c>
      <c r="K73" s="2">
        <f t="shared" si="3"/>
        <v>2825.9999999999995</v>
      </c>
    </row>
    <row r="80" spans="1:11" x14ac:dyDescent="0.2">
      <c r="A80" s="1" t="s">
        <v>48</v>
      </c>
    </row>
    <row r="81" spans="1:12" s="6" customFormat="1" x14ac:dyDescent="0.2">
      <c r="A81" s="4" t="s">
        <v>11</v>
      </c>
      <c r="B81" s="5">
        <v>41729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  <c r="L81" s="5"/>
    </row>
    <row r="82" spans="1:12" s="1" customFormat="1" x14ac:dyDescent="0.2">
      <c r="A82" s="2" t="s">
        <v>49</v>
      </c>
      <c r="B82" s="3"/>
      <c r="C82" s="3">
        <v>156.06</v>
      </c>
      <c r="D82" s="3">
        <v>165.71</v>
      </c>
      <c r="E82" s="3">
        <v>88.95</v>
      </c>
      <c r="F82" s="3">
        <v>77.09</v>
      </c>
      <c r="G82" s="3">
        <v>117.86</v>
      </c>
      <c r="H82" s="3">
        <v>748.49</v>
      </c>
      <c r="I82" s="3">
        <v>1284.1300000000001</v>
      </c>
      <c r="J82" s="3">
        <v>1121.8</v>
      </c>
      <c r="K82" s="3">
        <v>1459.31</v>
      </c>
    </row>
    <row r="83" spans="1:12" x14ac:dyDescent="0.2">
      <c r="A83" s="2" t="s">
        <v>50</v>
      </c>
      <c r="B83" s="3"/>
      <c r="C83" s="3">
        <v>-103.79</v>
      </c>
      <c r="D83" s="3">
        <v>-124.11</v>
      </c>
      <c r="E83" s="3">
        <v>-16.53</v>
      </c>
      <c r="F83" s="3">
        <v>-2640.7</v>
      </c>
      <c r="G83" s="3">
        <v>206.39</v>
      </c>
      <c r="H83" s="3">
        <v>-771.77</v>
      </c>
      <c r="I83" s="3">
        <v>-102.21</v>
      </c>
      <c r="J83" s="3">
        <v>-1252.55</v>
      </c>
      <c r="K83" s="3">
        <v>-1614.11</v>
      </c>
    </row>
    <row r="84" spans="1:12" x14ac:dyDescent="0.2">
      <c r="A84" s="2" t="s">
        <v>51</v>
      </c>
      <c r="B84" s="3"/>
      <c r="C84" s="3">
        <v>-48.19</v>
      </c>
      <c r="D84" s="3">
        <v>-47.72</v>
      </c>
      <c r="E84" s="3">
        <v>-73.95</v>
      </c>
      <c r="F84" s="3">
        <v>2353.12</v>
      </c>
      <c r="G84" s="3">
        <v>191.33</v>
      </c>
      <c r="H84" s="3">
        <v>-294.17</v>
      </c>
      <c r="I84" s="3">
        <v>-288.56</v>
      </c>
      <c r="J84" s="3">
        <v>-263.74</v>
      </c>
      <c r="K84" s="3">
        <v>-163.80000000000001</v>
      </c>
    </row>
    <row r="85" spans="1:12" s="1" customFormat="1" x14ac:dyDescent="0.2">
      <c r="A85" s="2" t="s">
        <v>52</v>
      </c>
      <c r="B85" s="3"/>
      <c r="C85" s="3">
        <v>4.08</v>
      </c>
      <c r="D85" s="3">
        <v>-6.12</v>
      </c>
      <c r="E85" s="3">
        <v>-1.53</v>
      </c>
      <c r="F85" s="3">
        <v>-210.49</v>
      </c>
      <c r="G85" s="3">
        <v>515.58000000000004</v>
      </c>
      <c r="H85" s="3">
        <v>-317.45</v>
      </c>
      <c r="I85" s="3">
        <v>893.36</v>
      </c>
      <c r="J85" s="3">
        <v>-394.49</v>
      </c>
      <c r="K85" s="3">
        <v>-318.60000000000002</v>
      </c>
    </row>
    <row r="90" spans="1:12" s="1" customFormat="1" x14ac:dyDescent="0.2">
      <c r="A90" s="1" t="s">
        <v>53</v>
      </c>
      <c r="B90" s="3"/>
      <c r="C90" s="3"/>
      <c r="D90" s="3"/>
      <c r="E90" s="3"/>
      <c r="F90" s="3"/>
      <c r="G90" s="3">
        <v>205.75</v>
      </c>
      <c r="H90" s="3">
        <v>347.65</v>
      </c>
      <c r="I90" s="3">
        <v>441.1</v>
      </c>
      <c r="J90" s="3">
        <v>819.9</v>
      </c>
      <c r="K90" s="3">
        <v>1096.95</v>
      </c>
    </row>
    <row r="92" spans="1:12" s="1" customFormat="1" x14ac:dyDescent="0.2">
      <c r="A92" s="1" t="s">
        <v>54</v>
      </c>
    </row>
    <row r="93" spans="1:12" x14ac:dyDescent="0.2">
      <c r="A93" s="2" t="s">
        <v>55</v>
      </c>
      <c r="B93" s="10"/>
      <c r="C93" s="10">
        <v>53.72</v>
      </c>
      <c r="D93" s="10">
        <v>53.72</v>
      </c>
      <c r="E93" s="10">
        <v>53.72</v>
      </c>
      <c r="F93" s="10">
        <v>53.72</v>
      </c>
      <c r="G93" s="10">
        <v>96.59</v>
      </c>
      <c r="H93" s="10">
        <v>96.96</v>
      </c>
      <c r="I93" s="10">
        <v>97.09</v>
      </c>
      <c r="J93" s="10">
        <v>97.19</v>
      </c>
      <c r="K93" s="10">
        <v>97.21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3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HistoricalFS</vt:lpstr>
      <vt:lpstr>Ratio Analysis</vt:lpstr>
      <vt:lpstr>Forecasting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 Ray</dc:creator>
  <cp:lastModifiedBy>Pankaj Ray</cp:lastModifiedBy>
  <dcterms:created xsi:type="dcterms:W3CDTF">2023-01-14T08:22:33Z</dcterms:created>
  <dcterms:modified xsi:type="dcterms:W3CDTF">2025-12-02T19:29:51Z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